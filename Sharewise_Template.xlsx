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Read Me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#,##0;\(#,##0\);\-"/>
    <numFmt numFmtId="166" formatCode="#,##0;;&quot;&quot;"/>
    <numFmt numFmtId="167" formatCode="0.0%"/>
    <numFmt numFmtId="168" formatCode="#,##0;\(#,##0\)"/>
    <numFmt numFmtId="169" formatCode="#,##0.0"/>
    <numFmt numFmtId="170" formatCode="#,##0;;\-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2B2230"/>
      <sz val="10"/>
    </font>
    <font>
      <name val="Arial"/>
      <charset val="1"/>
      <family val="0"/>
      <b val="1"/>
      <color rgb="FF3D2645"/>
      <sz val="18"/>
    </font>
    <font>
      <name val="Arial"/>
      <charset val="1"/>
      <family val="0"/>
      <i val="1"/>
      <color rgb="FF5A3B66"/>
      <sz val="10"/>
    </font>
    <font>
      <name val="Arial"/>
      <charset val="1"/>
      <family val="0"/>
      <b val="1"/>
      <color rgb="FF2B2230"/>
      <sz val="11"/>
    </font>
    <font>
      <name val="Arial"/>
      <charset val="1"/>
      <family val="0"/>
      <b val="1"/>
      <color rgb="FF3D2645"/>
      <sz val="15"/>
    </font>
    <font>
      <name val="Arial"/>
      <charset val="1"/>
      <family val="0"/>
      <i val="1"/>
      <color rgb="FF5A3B66"/>
      <sz val="9"/>
    </font>
    <font>
      <name val="Arial"/>
      <charset val="1"/>
      <family val="0"/>
      <b val="1"/>
      <color rgb="FF3D2645"/>
      <sz val="10"/>
    </font>
    <font>
      <name val="Arial"/>
      <charset val="1"/>
      <family val="0"/>
      <b val="1"/>
      <color rgb="FFC9A227"/>
      <sz val="11"/>
    </font>
    <font>
      <name val="Arial"/>
      <charset val="1"/>
      <family val="0"/>
      <b val="1"/>
      <color rgb="FF3D2645"/>
      <sz val="16"/>
    </font>
    <font>
      <name val="Arial"/>
      <charset val="1"/>
      <family val="0"/>
      <color rgb="FF5A3B66"/>
      <sz val="9"/>
    </font>
    <font>
      <name val="Arial"/>
      <charset val="1"/>
      <family val="0"/>
      <b val="1"/>
      <color rgb="FF3D2645"/>
      <sz val="13"/>
    </font>
    <font>
      <name val="Arial"/>
      <charset val="1"/>
      <family val="0"/>
      <color rgb="FF2B2230"/>
      <sz val="11"/>
    </font>
    <font>
      <name val="Arial"/>
      <charset val="1"/>
      <family val="0"/>
      <b val="1"/>
      <color rgb="FF3D2645"/>
      <sz val="11"/>
    </font>
  </fonts>
  <fills count="8">
    <fill>
      <patternFill/>
    </fill>
    <fill>
      <patternFill patternType="gray125"/>
    </fill>
    <fill>
      <patternFill patternType="solid">
        <fgColor rgb="FF3D2645"/>
        <bgColor rgb="FF2B2230"/>
      </patternFill>
    </fill>
    <fill>
      <patternFill patternType="solid">
        <fgColor rgb="FFF7F3EC"/>
        <bgColor rgb="FFFFFFFF"/>
      </patternFill>
    </fill>
    <fill>
      <patternFill patternType="solid">
        <fgColor rgb="FFC9A227"/>
        <bgColor rgb="FF99CC00"/>
      </patternFill>
    </fill>
    <fill>
      <patternFill patternType="solid">
        <fgColor rgb="FF5A3B66"/>
        <bgColor rgb="FF3D2645"/>
      </patternFill>
    </fill>
    <fill>
      <patternFill patternType="solid">
        <fgColor rgb="FFEDE6DB"/>
        <bgColor rgb="FFF7F3EC"/>
      </patternFill>
    </fill>
    <fill>
      <patternFill patternType="solid">
        <fgColor rgb="FFFFFFFF"/>
        <bgColor rgb="FFF7F3EC"/>
      </patternFill>
    </fill>
  </fills>
  <borders count="6">
    <border>
      <left/>
      <right/>
      <top/>
      <bottom/>
      <diagonal/>
    </border>
    <border>
      <left style="thin">
        <color rgb="FFD8CFC0"/>
      </left>
      <right style="thin">
        <color rgb="FFD8CFC0"/>
      </right>
      <top style="thin">
        <color rgb="FFD8CFC0"/>
      </top>
      <bottom style="thin">
        <color rgb="FFD8CFC0"/>
      </bottom>
      <diagonal/>
    </border>
    <border>
      <left/>
      <right/>
      <top style="thin">
        <color rgb="FFD8CFC0"/>
      </top>
      <bottom/>
      <diagonal/>
    </border>
    <border>
      <left/>
      <right style="thin">
        <color rgb="FFD8CFC0"/>
      </right>
      <top style="thin">
        <color rgb="FFD8CFC0"/>
      </top>
      <bottom/>
      <diagonal/>
    </border>
    <border>
      <left/>
      <right style="thin">
        <color rgb="FFD8CFC0"/>
      </right>
      <top style="thin">
        <color rgb="FFD8CFC0"/>
      </top>
      <bottom style="thin">
        <color rgb="FFD8CFC0"/>
      </bottom>
      <diagonal/>
    </border>
    <border>
      <left/>
      <right/>
      <top style="thin">
        <color rgb="FFD8CFC0"/>
      </top>
      <bottom style="thin">
        <color rgb="FFD8CF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6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3" fontId="9" fillId="3" borderId="0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67" fontId="0" fillId="6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3" fontId="4" fillId="2" borderId="0" applyAlignment="1" pivotButton="0" quotePrefix="0" xfId="0">
      <alignment horizontal="general" vertical="bottom"/>
    </xf>
    <xf numFmtId="169" fontId="11" fillId="6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0" fontId="0" fillId="6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70" fontId="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6" fontId="5" fillId="3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6" fontId="5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3" fontId="9" fillId="3" borderId="0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67" fontId="0" fillId="6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8" fontId="12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3" fontId="4" fillId="2" borderId="0" applyAlignment="1" pivotButton="0" quotePrefix="0" xfId="0">
      <alignment horizontal="general" vertical="bottom"/>
    </xf>
    <xf numFmtId="0" fontId="0" fillId="0" borderId="5" pivotButton="0" quotePrefix="0" xfId="0"/>
    <xf numFmtId="169" fontId="11" fillId="6" borderId="1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70" fontId="0" fillId="6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general" vertical="bottom"/>
    </xf>
    <xf numFmtId="170" fontId="4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6" fillId="7" borderId="1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0"/>
      <rgbColor rgb="FF808080"/>
      <rgbColor rgb="FF9999FF"/>
      <rgbColor rgb="FF993366"/>
      <rgbColor rgb="FFF7F3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DE6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99"/>
      <rgbColor rgb="FF969696"/>
      <rgbColor rgb="FF003366"/>
      <rgbColor rgb="FF339966"/>
      <rgbColor rgb="FF003300"/>
      <rgbColor rgb="FF2B2230"/>
      <rgbColor rgb="FF993300"/>
      <rgbColor rgb="FF993366"/>
      <rgbColor rgb="FF5A3B66"/>
      <rgbColor rgb="FF3D26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5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42" min="1" max="1"/>
    <col width="26" customWidth="1" style="42" min="2" max="2"/>
    <col width="24" customWidth="1" style="42" min="3" max="3"/>
    <col width="13" customWidth="1" style="42" min="4" max="4"/>
    <col width="10" customWidth="1" style="42" min="5" max="6"/>
    <col width="12" customWidth="1" style="42" min="7" max="7"/>
    <col width="10" customWidth="1" style="42" min="8" max="9"/>
    <col width="22" customWidth="1" style="42" min="10" max="10"/>
    <col width="10" customWidth="1" style="42" min="11" max="14"/>
  </cols>
  <sheetData>
    <row r="1" ht="30" customHeight="1" s="43">
      <c r="A1" s="44" t="inlineStr">
        <is>
          <t>Date</t>
        </is>
      </c>
      <c r="B1" s="44" t="inlineStr">
        <is>
          <t>Item</t>
        </is>
      </c>
      <c r="C1" s="44" t="inlineStr">
        <is>
          <t>Category</t>
        </is>
      </c>
      <c r="D1" s="44" t="inlineStr">
        <is>
          <t>Amount</t>
        </is>
      </c>
      <c r="E1" s="44" t="inlineStr">
        <is>
          <t>Paid By</t>
        </is>
      </c>
      <c r="F1" s="44" t="inlineStr">
        <is>
          <t>Split</t>
        </is>
      </c>
      <c r="G1" s="44" t="inlineStr">
        <is>
          <t>Payment</t>
        </is>
      </c>
      <c r="H1" s="44" t="inlineStr">
        <is>
          <t>Impulse?</t>
        </is>
      </c>
      <c r="I1" s="44" t="inlineStr">
        <is>
          <t>Month</t>
        </is>
      </c>
      <c r="J1" s="44" t="inlineStr">
        <is>
          <t>Notes</t>
        </is>
      </c>
      <c r="K1" s="44" t="inlineStr">
        <is>
          <t>You ₹</t>
        </is>
      </c>
      <c r="L1" s="44" t="inlineStr">
        <is>
          <t>Wife ₹</t>
        </is>
      </c>
      <c r="M1" s="44" t="inlineStr">
        <is>
          <t>_effYou</t>
        </is>
      </c>
      <c r="N1" s="44" t="inlineStr">
        <is>
          <t>_effWife</t>
        </is>
      </c>
    </row>
    <row r="2" ht="15" customHeight="1" s="43">
      <c r="A2" s="45" t="n"/>
      <c r="B2" s="46" t="n"/>
      <c r="C2" s="46" t="n"/>
      <c r="D2" s="47" t="n"/>
      <c r="E2" s="46" t="n"/>
      <c r="F2" s="46" t="n"/>
      <c r="G2" s="46" t="n"/>
      <c r="H2" s="46" t="n"/>
      <c r="I2" s="46">
        <f>IF($A2="","",TEXT($A2,"YYYY-MM"))</f>
        <v/>
      </c>
      <c r="J2" s="46" t="n"/>
      <c r="K2" s="48" t="n"/>
      <c r="L2" s="48" t="n"/>
      <c r="M2" s="49">
        <f>IF($A2="","",IF(AND($K2&lt;&gt;"",$L2&lt;&gt;""),$K2,IF($F2="You",$D2,IF($F2="Wife",0,IF($F2="Shared",$D2/2,0)))))</f>
        <v/>
      </c>
      <c r="N2" s="49">
        <f>IF($A2="","",IF(AND($K2&lt;&gt;"",$L2&lt;&gt;""),$L2,IF($F2="You",0,IF($F2="Wife",$D2,IF($F2="Shared",$D2/2,0)))))</f>
        <v/>
      </c>
    </row>
    <row r="3" ht="15" customHeight="1" s="43">
      <c r="A3" s="50" t="n"/>
      <c r="B3" s="51" t="n"/>
      <c r="C3" s="51" t="n"/>
      <c r="D3" s="52" t="n"/>
      <c r="E3" s="51" t="n"/>
      <c r="F3" s="51" t="n"/>
      <c r="G3" s="51" t="n"/>
      <c r="H3" s="51" t="n"/>
      <c r="I3" s="51">
        <f>IF($A3="","",TEXT($A3,"YYYY-MM"))</f>
        <v/>
      </c>
      <c r="J3" s="51" t="n"/>
      <c r="K3" s="53" t="n"/>
      <c r="L3" s="53" t="n"/>
      <c r="M3" s="54">
        <f>IF($A3="","",IF(AND($K3&lt;&gt;"",$L3&lt;&gt;""),$K3,IF($F3="You",$D3,IF($F3="Wife",0,IF($F3="Shared",$D3/2,0)))))</f>
        <v/>
      </c>
      <c r="N3" s="54">
        <f>IF($A3="","",IF(AND($K3&lt;&gt;"",$L3&lt;&gt;""),$L3,IF($F3="You",0,IF($F3="Wife",$D3,IF($F3="Shared",$D3/2,0)))))</f>
        <v/>
      </c>
    </row>
    <row r="4" ht="15" customHeight="1" s="43">
      <c r="A4" s="45" t="n"/>
      <c r="B4" s="46" t="n"/>
      <c r="C4" s="46" t="n"/>
      <c r="D4" s="47" t="n"/>
      <c r="E4" s="46" t="n"/>
      <c r="F4" s="46" t="n"/>
      <c r="G4" s="46" t="n"/>
      <c r="H4" s="46" t="n"/>
      <c r="I4" s="46">
        <f>IF($A4="","",TEXT($A4,"YYYY-MM"))</f>
        <v/>
      </c>
      <c r="J4" s="46" t="n"/>
      <c r="K4" s="48" t="n"/>
      <c r="L4" s="48" t="n"/>
      <c r="M4" s="49">
        <f>IF($A4="","",IF(AND($K4&lt;&gt;"",$L4&lt;&gt;""),$K4,IF($F4="You",$D4,IF($F4="Wife",0,IF($F4="Shared",$D4/2,0)))))</f>
        <v/>
      </c>
      <c r="N4" s="49">
        <f>IF($A4="","",IF(AND($K4&lt;&gt;"",$L4&lt;&gt;""),$L4,IF($F4="You",0,IF($F4="Wife",$D4,IF($F4="Shared",$D4/2,0)))))</f>
        <v/>
      </c>
    </row>
    <row r="5" ht="15" customHeight="1" s="43">
      <c r="A5" s="50" t="n"/>
      <c r="B5" s="51" t="n"/>
      <c r="C5" s="51" t="n"/>
      <c r="D5" s="52" t="n"/>
      <c r="E5" s="51" t="n"/>
      <c r="F5" s="51" t="n"/>
      <c r="G5" s="51" t="n"/>
      <c r="H5" s="51" t="n"/>
      <c r="I5" s="51">
        <f>IF($A5="","",TEXT($A5,"YYYY-MM"))</f>
        <v/>
      </c>
      <c r="J5" s="51" t="n"/>
      <c r="K5" s="53" t="n"/>
      <c r="L5" s="53" t="n"/>
      <c r="M5" s="54">
        <f>IF($A5="","",IF(AND($K5&lt;&gt;"",$L5&lt;&gt;""),$K5,IF($F5="You",$D5,IF($F5="Wife",0,IF($F5="Shared",$D5/2,0)))))</f>
        <v/>
      </c>
      <c r="N5" s="54">
        <f>IF($A5="","",IF(AND($K5&lt;&gt;"",$L5&lt;&gt;""),$L5,IF($F5="You",0,IF($F5="Wife",$D5,IF($F5="Shared",$D5/2,0)))))</f>
        <v/>
      </c>
    </row>
    <row r="6" ht="15" customHeight="1" s="43">
      <c r="A6" s="45" t="n"/>
      <c r="B6" s="46" t="n"/>
      <c r="C6" s="46" t="n"/>
      <c r="D6" s="47" t="n"/>
      <c r="E6" s="46" t="n"/>
      <c r="F6" s="46" t="n"/>
      <c r="G6" s="46" t="n"/>
      <c r="H6" s="46" t="n"/>
      <c r="I6" s="46">
        <f>IF($A6="","",TEXT($A6,"YYYY-MM"))</f>
        <v/>
      </c>
      <c r="J6" s="46" t="n"/>
      <c r="K6" s="48" t="n"/>
      <c r="L6" s="48" t="n"/>
      <c r="M6" s="49">
        <f>IF($A6="","",IF(AND($K6&lt;&gt;"",$L6&lt;&gt;""),$K6,IF($F6="You",$D6,IF($F6="Wife",0,IF($F6="Shared",$D6/2,0)))))</f>
        <v/>
      </c>
      <c r="N6" s="49">
        <f>IF($A6="","",IF(AND($K6&lt;&gt;"",$L6&lt;&gt;""),$L6,IF($F6="You",0,IF($F6="Wife",$D6,IF($F6="Shared",$D6/2,0)))))</f>
        <v/>
      </c>
    </row>
    <row r="7" ht="15" customHeight="1" s="43">
      <c r="A7" s="50" t="n"/>
      <c r="B7" s="51" t="n"/>
      <c r="C7" s="51" t="n"/>
      <c r="D7" s="52" t="n"/>
      <c r="E7" s="51" t="n"/>
      <c r="F7" s="51" t="n"/>
      <c r="G7" s="51" t="n"/>
      <c r="H7" s="51" t="n"/>
      <c r="I7" s="51">
        <f>IF($A7="","",TEXT($A7,"YYYY-MM"))</f>
        <v/>
      </c>
      <c r="J7" s="51" t="n"/>
      <c r="K7" s="53" t="n"/>
      <c r="L7" s="53" t="n"/>
      <c r="M7" s="54">
        <f>IF($A7="","",IF(AND($K7&lt;&gt;"",$L7&lt;&gt;""),$K7,IF($F7="You",$D7,IF($F7="Wife",0,IF($F7="Shared",$D7/2,0)))))</f>
        <v/>
      </c>
      <c r="N7" s="54">
        <f>IF($A7="","",IF(AND($K7&lt;&gt;"",$L7&lt;&gt;""),$L7,IF($F7="You",0,IF($F7="Wife",$D7,IF($F7="Shared",$D7/2,0)))))</f>
        <v/>
      </c>
    </row>
    <row r="8" ht="15" customHeight="1" s="43">
      <c r="A8" s="45" t="n"/>
      <c r="B8" s="46" t="n"/>
      <c r="C8" s="46" t="n"/>
      <c r="D8" s="47" t="n"/>
      <c r="E8" s="46" t="n"/>
      <c r="F8" s="46" t="n"/>
      <c r="G8" s="46" t="n"/>
      <c r="H8" s="46" t="n"/>
      <c r="I8" s="46">
        <f>IF($A8="","",TEXT($A8,"YYYY-MM"))</f>
        <v/>
      </c>
      <c r="J8" s="46" t="n"/>
      <c r="K8" s="48" t="n"/>
      <c r="L8" s="48" t="n"/>
      <c r="M8" s="49">
        <f>IF($A8="","",IF(AND($K8&lt;&gt;"",$L8&lt;&gt;""),$K8,IF($F8="You",$D8,IF($F8="Wife",0,IF($F8="Shared",$D8/2,0)))))</f>
        <v/>
      </c>
      <c r="N8" s="49">
        <f>IF($A8="","",IF(AND($K8&lt;&gt;"",$L8&lt;&gt;""),$L8,IF($F8="You",0,IF($F8="Wife",$D8,IF($F8="Shared",$D8/2,0)))))</f>
        <v/>
      </c>
    </row>
    <row r="9" ht="15" customHeight="1" s="43">
      <c r="A9" s="50" t="n"/>
      <c r="B9" s="51" t="n"/>
      <c r="C9" s="51" t="n"/>
      <c r="D9" s="52" t="n"/>
      <c r="E9" s="51" t="n"/>
      <c r="F9" s="51" t="n"/>
      <c r="G9" s="51" t="n"/>
      <c r="H9" s="51" t="n"/>
      <c r="I9" s="51">
        <f>IF($A9="","",TEXT($A9,"YYYY-MM"))</f>
        <v/>
      </c>
      <c r="J9" s="51" t="n"/>
      <c r="K9" s="53" t="n"/>
      <c r="L9" s="53" t="n"/>
      <c r="M9" s="54">
        <f>IF($A9="","",IF(AND($K9&lt;&gt;"",$L9&lt;&gt;""),$K9,IF($F9="You",$D9,IF($F9="Wife",0,IF($F9="Shared",$D9/2,0)))))</f>
        <v/>
      </c>
      <c r="N9" s="54">
        <f>IF($A9="","",IF(AND($K9&lt;&gt;"",$L9&lt;&gt;""),$L9,IF($F9="You",0,IF($F9="Wife",$D9,IF($F9="Shared",$D9/2,0)))))</f>
        <v/>
      </c>
    </row>
    <row r="10" ht="15" customHeight="1" s="43">
      <c r="A10" s="45" t="n"/>
      <c r="B10" s="46" t="n"/>
      <c r="C10" s="46" t="n"/>
      <c r="D10" s="47" t="n"/>
      <c r="E10" s="46" t="n"/>
      <c r="F10" s="46" t="n"/>
      <c r="G10" s="46" t="n"/>
      <c r="H10" s="46" t="n"/>
      <c r="I10" s="46">
        <f>IF($A10="","",TEXT($A10,"YYYY-MM"))</f>
        <v/>
      </c>
      <c r="J10" s="46" t="n"/>
      <c r="K10" s="48" t="n"/>
      <c r="L10" s="48" t="n"/>
      <c r="M10" s="49">
        <f>IF($A10="","",IF(AND($K10&lt;&gt;"",$L10&lt;&gt;""),$K10,IF($F10="You",$D10,IF($F10="Wife",0,IF($F10="Shared",$D10/2,0)))))</f>
        <v/>
      </c>
      <c r="N10" s="49">
        <f>IF($A10="","",IF(AND($K10&lt;&gt;"",$L10&lt;&gt;""),$L10,IF($F10="You",0,IF($F10="Wife",$D10,IF($F10="Shared",$D10/2,0)))))</f>
        <v/>
      </c>
    </row>
    <row r="11" ht="15" customHeight="1" s="43">
      <c r="A11" s="45" t="n"/>
      <c r="B11" s="46" t="n"/>
      <c r="C11" s="46" t="n"/>
      <c r="D11" s="47" t="n"/>
      <c r="E11" s="46" t="n"/>
      <c r="F11" s="46" t="n"/>
      <c r="G11" s="46" t="n"/>
      <c r="H11" s="46" t="n"/>
      <c r="I11" s="46">
        <f>IF($A11="","",TEXT($A11,"YYYY-MM"))</f>
        <v/>
      </c>
      <c r="J11" s="46" t="n"/>
      <c r="K11" s="48" t="n"/>
      <c r="L11" s="48" t="n"/>
      <c r="M11" s="49">
        <f>IF($A11="","",IF(AND($K11&lt;&gt;"",$L11&lt;&gt;""),$K11,IF($F11="You",$D11,IF($F11="Wife",0,IF($F11="Shared",$D11/2,0)))))</f>
        <v/>
      </c>
      <c r="N11" s="49">
        <f>IF($A11="","",IF(AND($K11&lt;&gt;"",$L11&lt;&gt;""),$L11,IF($F11="You",0,IF($F11="Wife",$D11,IF($F11="Shared",$D11/2,0)))))</f>
        <v/>
      </c>
    </row>
    <row r="12" ht="15" customHeight="1" s="43">
      <c r="A12" s="50" t="n"/>
      <c r="B12" s="51" t="n"/>
      <c r="C12" s="51" t="n"/>
      <c r="D12" s="52" t="n"/>
      <c r="E12" s="51" t="n"/>
      <c r="F12" s="51" t="n"/>
      <c r="G12" s="51" t="n"/>
      <c r="H12" s="51" t="n"/>
      <c r="I12" s="51">
        <f>IF($A12="","",TEXT($A12,"YYYY-MM"))</f>
        <v/>
      </c>
      <c r="J12" s="51" t="n"/>
      <c r="K12" s="53" t="n"/>
      <c r="L12" s="53" t="n"/>
      <c r="M12" s="54">
        <f>IF($A12="","",IF(AND($K12&lt;&gt;"",$L12&lt;&gt;""),$K12,IF($F12="You",$D12,IF($F12="Wife",0,IF($F12="Shared",$D12/2,0)))))</f>
        <v/>
      </c>
      <c r="N12" s="54">
        <f>IF($A12="","",IF(AND($K12&lt;&gt;"",$L12&lt;&gt;""),$L12,IF($F12="You",0,IF($F12="Wife",$D12,IF($F12="Shared",$D12/2,0)))))</f>
        <v/>
      </c>
    </row>
    <row r="13" ht="15" customHeight="1" s="43">
      <c r="A13" s="45" t="n"/>
      <c r="B13" s="46" t="n"/>
      <c r="C13" s="46" t="n"/>
      <c r="D13" s="47" t="n"/>
      <c r="E13" s="46" t="n"/>
      <c r="F13" s="46" t="n"/>
      <c r="G13" s="46" t="n"/>
      <c r="H13" s="46" t="n"/>
      <c r="I13" s="46">
        <f>IF($A13="","",TEXT($A13,"YYYY-MM"))</f>
        <v/>
      </c>
      <c r="J13" s="46" t="n"/>
      <c r="K13" s="48" t="n"/>
      <c r="L13" s="48" t="n"/>
      <c r="M13" s="49">
        <f>IF($A13="","",IF(AND($K13&lt;&gt;"",$L13&lt;&gt;""),$K13,IF($F13="You",$D13,IF($F13="Wife",0,IF($F13="Shared",$D13/2,0)))))</f>
        <v/>
      </c>
      <c r="N13" s="49">
        <f>IF($A13="","",IF(AND($K13&lt;&gt;"",$L13&lt;&gt;""),$L13,IF($F13="You",0,IF($F13="Wife",$D13,IF($F13="Shared",$D13/2,0)))))</f>
        <v/>
      </c>
    </row>
    <row r="14" ht="15" customHeight="1" s="43">
      <c r="A14" s="50" t="n"/>
      <c r="B14" s="51" t="n"/>
      <c r="C14" s="51" t="n"/>
      <c r="D14" s="52" t="n"/>
      <c r="E14" s="51" t="n"/>
      <c r="F14" s="51" t="n"/>
      <c r="G14" s="51" t="n"/>
      <c r="H14" s="51" t="n"/>
      <c r="I14" s="51">
        <f>IF($A14="","",TEXT($A14,"YYYY-MM"))</f>
        <v/>
      </c>
      <c r="J14" s="51" t="n"/>
      <c r="K14" s="53" t="n"/>
      <c r="L14" s="53" t="n"/>
      <c r="M14" s="54">
        <f>IF($A14="","",IF(AND($K14&lt;&gt;"",$L14&lt;&gt;""),$K14,IF($F14="You",$D14,IF($F14="Wife",0,IF($F14="Shared",$D14/2,0)))))</f>
        <v/>
      </c>
      <c r="N14" s="54">
        <f>IF($A14="","",IF(AND($K14&lt;&gt;"",$L14&lt;&gt;""),$L14,IF($F14="You",0,IF($F14="Wife",$D14,IF($F14="Shared",$D14/2,0)))))</f>
        <v/>
      </c>
    </row>
    <row r="15" ht="15" customHeight="1" s="43">
      <c r="A15" s="45" t="n"/>
      <c r="B15" s="46" t="n"/>
      <c r="C15" s="46" t="n"/>
      <c r="D15" s="47" t="n"/>
      <c r="E15" s="46" t="n"/>
      <c r="F15" s="46" t="n"/>
      <c r="G15" s="46" t="n"/>
      <c r="H15" s="46" t="n"/>
      <c r="I15" s="46">
        <f>IF($A15="","",TEXT($A15,"YYYY-MM"))</f>
        <v/>
      </c>
      <c r="J15" s="46" t="n"/>
      <c r="K15" s="48" t="n"/>
      <c r="L15" s="48" t="n"/>
      <c r="M15" s="49">
        <f>IF($A15="","",IF(AND($K15&lt;&gt;"",$L15&lt;&gt;""),$K15,IF($F15="You",$D15,IF($F15="Wife",0,IF($F15="Shared",$D15/2,0)))))</f>
        <v/>
      </c>
      <c r="N15" s="49">
        <f>IF($A15="","",IF(AND($K15&lt;&gt;"",$L15&lt;&gt;""),$L15,IF($F15="You",0,IF($F15="Wife",$D15,IF($F15="Shared",$D15/2,0)))))</f>
        <v/>
      </c>
    </row>
    <row r="16" ht="15" customHeight="1" s="43">
      <c r="A16" s="50" t="n"/>
      <c r="B16" s="51" t="n"/>
      <c r="C16" s="51" t="n"/>
      <c r="D16" s="52" t="n"/>
      <c r="E16" s="51" t="n"/>
      <c r="F16" s="51" t="n"/>
      <c r="G16" s="51" t="n"/>
      <c r="H16" s="51" t="n"/>
      <c r="I16" s="51">
        <f>IF($A16="","",TEXT($A16,"YYYY-MM"))</f>
        <v/>
      </c>
      <c r="J16" s="51" t="n"/>
      <c r="K16" s="53" t="n"/>
      <c r="L16" s="53" t="n"/>
      <c r="M16" s="54">
        <f>IF($A16="","",IF(AND($K16&lt;&gt;"",$L16&lt;&gt;""),$K16,IF($F16="You",$D16,IF($F16="Wife",0,IF($F16="Shared",$D16/2,0)))))</f>
        <v/>
      </c>
      <c r="N16" s="54">
        <f>IF($A16="","",IF(AND($K16&lt;&gt;"",$L16&lt;&gt;""),$L16,IF($F16="You",0,IF($F16="Wife",$D16,IF($F16="Shared",$D16/2,0)))))</f>
        <v/>
      </c>
    </row>
    <row r="17" ht="15" customHeight="1" s="43">
      <c r="A17" s="45" t="n"/>
      <c r="B17" s="46" t="n"/>
      <c r="C17" s="46" t="n"/>
      <c r="D17" s="47" t="n"/>
      <c r="E17" s="46" t="n"/>
      <c r="F17" s="46" t="n"/>
      <c r="G17" s="46" t="n"/>
      <c r="H17" s="46" t="n"/>
      <c r="I17" s="46">
        <f>IF($A17="","",TEXT($A17,"YYYY-MM"))</f>
        <v/>
      </c>
      <c r="J17" s="46" t="n"/>
      <c r="K17" s="48" t="n"/>
      <c r="L17" s="48" t="n"/>
      <c r="M17" s="49">
        <f>IF($A17="","",IF(AND($K17&lt;&gt;"",$L17&lt;&gt;""),$K17,IF($F17="You",$D17,IF($F17="Wife",0,IF($F17="Shared",$D17/2,0)))))</f>
        <v/>
      </c>
      <c r="N17" s="49">
        <f>IF($A17="","",IF(AND($K17&lt;&gt;"",$L17&lt;&gt;""),$L17,IF($F17="You",0,IF($F17="Wife",$D17,IF($F17="Shared",$D17/2,0)))))</f>
        <v/>
      </c>
    </row>
    <row r="18" ht="15" customHeight="1" s="43">
      <c r="A18" s="50" t="n"/>
      <c r="B18" s="51" t="n"/>
      <c r="C18" s="51" t="n"/>
      <c r="D18" s="52" t="n"/>
      <c r="E18" s="51" t="n"/>
      <c r="F18" s="51" t="n"/>
      <c r="G18" s="51" t="n"/>
      <c r="H18" s="51" t="n"/>
      <c r="I18" s="51">
        <f>IF($A18="","",TEXT($A18,"YYYY-MM"))</f>
        <v/>
      </c>
      <c r="J18" s="51" t="n"/>
      <c r="K18" s="53" t="n"/>
      <c r="L18" s="53" t="n"/>
      <c r="M18" s="54">
        <f>IF($A18="","",IF(AND($K18&lt;&gt;"",$L18&lt;&gt;""),$K18,IF($F18="You",$D18,IF($F18="Wife",0,IF($F18="Shared",$D18/2,0)))))</f>
        <v/>
      </c>
      <c r="N18" s="54">
        <f>IF($A18="","",IF(AND($K18&lt;&gt;"",$L18&lt;&gt;""),$L18,IF($F18="You",0,IF($F18="Wife",$D18,IF($F18="Shared",$D18/2,0)))))</f>
        <v/>
      </c>
    </row>
    <row r="19" ht="15" customHeight="1" s="43">
      <c r="A19" s="45" t="n"/>
      <c r="B19" s="46" t="n"/>
      <c r="C19" s="46" t="n"/>
      <c r="D19" s="47" t="n"/>
      <c r="E19" s="46" t="n"/>
      <c r="F19" s="46" t="n"/>
      <c r="G19" s="46" t="n"/>
      <c r="H19" s="46" t="n"/>
      <c r="I19" s="46">
        <f>IF($A19="","",TEXT($A19,"YYYY-MM"))</f>
        <v/>
      </c>
      <c r="J19" s="46" t="n"/>
      <c r="K19" s="48" t="n"/>
      <c r="L19" s="48" t="n"/>
      <c r="M19" s="49">
        <f>IF($A19="","",IF(AND($K19&lt;&gt;"",$L19&lt;&gt;""),$K19,IF($F19="You",$D19,IF($F19="Wife",0,IF($F19="Shared",$D19/2,0)))))</f>
        <v/>
      </c>
      <c r="N19" s="49">
        <f>IF($A19="","",IF(AND($K19&lt;&gt;"",$L19&lt;&gt;""),$L19,IF($F19="You",0,IF($F19="Wife",$D19,IF($F19="Shared",$D19/2,0)))))</f>
        <v/>
      </c>
    </row>
    <row r="20" ht="15" customHeight="1" s="43">
      <c r="A20" s="50" t="n"/>
      <c r="B20" s="51" t="n"/>
      <c r="C20" s="51" t="n"/>
      <c r="D20" s="52" t="n"/>
      <c r="E20" s="51" t="n"/>
      <c r="F20" s="51" t="n"/>
      <c r="G20" s="51" t="n"/>
      <c r="H20" s="51" t="n"/>
      <c r="I20" s="51">
        <f>IF($A20="","",TEXT($A20,"YYYY-MM"))</f>
        <v/>
      </c>
      <c r="J20" s="51" t="n"/>
      <c r="K20" s="53" t="n"/>
      <c r="L20" s="53" t="n"/>
      <c r="M20" s="54">
        <f>IF($A20="","",IF(AND($K20&lt;&gt;"",$L20&lt;&gt;""),$K20,IF($F20="You",$D20,IF($F20="Wife",0,IF($F20="Shared",$D20/2,0)))))</f>
        <v/>
      </c>
      <c r="N20" s="54">
        <f>IF($A20="","",IF(AND($K20&lt;&gt;"",$L20&lt;&gt;""),$L20,IF($F20="You",0,IF($F20="Wife",$D20,IF($F20="Shared",$D20/2,0)))))</f>
        <v/>
      </c>
    </row>
    <row r="21" ht="15" customHeight="1" s="43">
      <c r="A21" s="45" t="n"/>
      <c r="B21" s="46" t="n"/>
      <c r="C21" s="46" t="n"/>
      <c r="D21" s="47" t="n"/>
      <c r="E21" s="46" t="n"/>
      <c r="F21" s="46" t="n"/>
      <c r="G21" s="46" t="n"/>
      <c r="H21" s="46" t="n"/>
      <c r="I21" s="46">
        <f>IF($A21="","",TEXT($A21,"YYYY-MM"))</f>
        <v/>
      </c>
      <c r="J21" s="46" t="n"/>
      <c r="K21" s="48" t="n"/>
      <c r="L21" s="48" t="n"/>
      <c r="M21" s="49">
        <f>IF($A21="","",IF(AND($K21&lt;&gt;"",$L21&lt;&gt;""),$K21,IF($F21="You",$D21,IF($F21="Wife",0,IF($F21="Shared",$D21/2,0)))))</f>
        <v/>
      </c>
      <c r="N21" s="49">
        <f>IF($A21="","",IF(AND($K21&lt;&gt;"",$L21&lt;&gt;""),$L21,IF($F21="You",0,IF($F21="Wife",$D21,IF($F21="Shared",$D21/2,0)))))</f>
        <v/>
      </c>
    </row>
    <row r="22" ht="15" customHeight="1" s="43">
      <c r="A22" s="50" t="n"/>
      <c r="B22" s="51" t="n"/>
      <c r="C22" s="51" t="n"/>
      <c r="D22" s="52" t="n"/>
      <c r="E22" s="51" t="n"/>
      <c r="F22" s="51" t="n"/>
      <c r="G22" s="51" t="n"/>
      <c r="H22" s="51" t="n"/>
      <c r="I22" s="51">
        <f>IF($A22="","",TEXT($A22,"YYYY-MM"))</f>
        <v/>
      </c>
      <c r="J22" s="51" t="n"/>
      <c r="K22" s="53" t="n"/>
      <c r="L22" s="53" t="n"/>
      <c r="M22" s="54">
        <f>IF($A22="","",IF(AND($K22&lt;&gt;"",$L22&lt;&gt;""),$K22,IF($F22="You",$D22,IF($F22="Wife",0,IF($F22="Shared",$D22/2,0)))))</f>
        <v/>
      </c>
      <c r="N22" s="54">
        <f>IF($A22="","",IF(AND($K22&lt;&gt;"",$L22&lt;&gt;""),$L22,IF($F22="You",0,IF($F22="Wife",$D22,IF($F22="Shared",$D22/2,0)))))</f>
        <v/>
      </c>
    </row>
    <row r="23" ht="15" customHeight="1" s="43">
      <c r="A23" s="45" t="n"/>
      <c r="B23" s="46" t="n"/>
      <c r="C23" s="46" t="n"/>
      <c r="D23" s="47" t="n"/>
      <c r="E23" s="46" t="n"/>
      <c r="F23" s="46" t="n"/>
      <c r="G23" s="46" t="n"/>
      <c r="H23" s="46" t="n"/>
      <c r="I23" s="46">
        <f>IF($A23="","",TEXT($A23,"YYYY-MM"))</f>
        <v/>
      </c>
      <c r="J23" s="46" t="n"/>
      <c r="K23" s="48" t="n"/>
      <c r="L23" s="48" t="n"/>
      <c r="M23" s="49">
        <f>IF($A23="","",IF(AND($K23&lt;&gt;"",$L23&lt;&gt;""),$K23,IF($F23="You",$D23,IF($F23="Wife",0,IF($F23="Shared",$D23/2,0)))))</f>
        <v/>
      </c>
      <c r="N23" s="49">
        <f>IF($A23="","",IF(AND($K23&lt;&gt;"",$L23&lt;&gt;""),$L23,IF($F23="You",0,IF($F23="Wife",$D23,IF($F23="Shared",$D23/2,0)))))</f>
        <v/>
      </c>
    </row>
    <row r="24" ht="15" customHeight="1" s="43">
      <c r="A24" s="50" t="n"/>
      <c r="B24" s="51" t="n"/>
      <c r="C24" s="51" t="n"/>
      <c r="D24" s="52" t="n"/>
      <c r="E24" s="51" t="n"/>
      <c r="F24" s="51" t="n"/>
      <c r="G24" s="51" t="n"/>
      <c r="H24" s="51" t="n"/>
      <c r="I24" s="51">
        <f>IF($A24="","",TEXT($A24,"YYYY-MM"))</f>
        <v/>
      </c>
      <c r="J24" s="51" t="n"/>
      <c r="K24" s="53" t="n"/>
      <c r="L24" s="53" t="n"/>
      <c r="M24" s="54">
        <f>IF($A24="","",IF(AND($K24&lt;&gt;"",$L24&lt;&gt;""),$K24,IF($F24="You",$D24,IF($F24="Wife",0,IF($F24="Shared",$D24/2,0)))))</f>
        <v/>
      </c>
      <c r="N24" s="54">
        <f>IF($A24="","",IF(AND($K24&lt;&gt;"",$L24&lt;&gt;""),$L24,IF($F24="You",0,IF($F24="Wife",$D24,IF($F24="Shared",$D24/2,0)))))</f>
        <v/>
      </c>
    </row>
    <row r="25" ht="15" customHeight="1" s="43">
      <c r="A25" s="45" t="n"/>
      <c r="B25" s="46" t="n"/>
      <c r="C25" s="46" t="n"/>
      <c r="D25" s="47" t="n"/>
      <c r="E25" s="46" t="n"/>
      <c r="F25" s="46" t="n"/>
      <c r="G25" s="46" t="n"/>
      <c r="H25" s="46" t="n"/>
      <c r="I25" s="46">
        <f>IF($A25="","",TEXT($A25,"YYYY-MM"))</f>
        <v/>
      </c>
      <c r="J25" s="46" t="n"/>
      <c r="K25" s="48" t="n"/>
      <c r="L25" s="48" t="n"/>
      <c r="M25" s="49">
        <f>IF($A25="","",IF(AND($K25&lt;&gt;"",$L25&lt;&gt;""),$K25,IF($F25="You",$D25,IF($F25="Wife",0,IF($F25="Shared",$D25/2,0)))))</f>
        <v/>
      </c>
      <c r="N25" s="49">
        <f>IF($A25="","",IF(AND($K25&lt;&gt;"",$L25&lt;&gt;""),$L25,IF($F25="You",0,IF($F25="Wife",$D25,IF($F25="Shared",$D25/2,0)))))</f>
        <v/>
      </c>
    </row>
    <row r="26" ht="15" customHeight="1" s="43">
      <c r="A26" s="50" t="n"/>
      <c r="B26" s="51" t="n"/>
      <c r="C26" s="51" t="n"/>
      <c r="D26" s="52" t="n"/>
      <c r="E26" s="51" t="n"/>
      <c r="F26" s="51" t="n"/>
      <c r="G26" s="51" t="n"/>
      <c r="H26" s="51" t="n"/>
      <c r="I26" s="51">
        <f>IF($A26="","",TEXT($A26,"YYYY-MM"))</f>
        <v/>
      </c>
      <c r="J26" s="51" t="n"/>
      <c r="K26" s="53" t="n"/>
      <c r="L26" s="53" t="n"/>
      <c r="M26" s="54">
        <f>IF($A26="","",IF(AND($K26&lt;&gt;"",$L26&lt;&gt;""),$K26,IF($F26="You",$D26,IF($F26="Wife",0,IF($F26="Shared",$D26/2,0)))))</f>
        <v/>
      </c>
      <c r="N26" s="54">
        <f>IF($A26="","",IF(AND($K26&lt;&gt;"",$L26&lt;&gt;""),$L26,IF($F26="You",0,IF($F26="Wife",$D26,IF($F26="Shared",$D26/2,0)))))</f>
        <v/>
      </c>
    </row>
    <row r="27" ht="15" customHeight="1" s="43">
      <c r="A27" s="45" t="n"/>
      <c r="B27" s="46" t="n"/>
      <c r="C27" s="46" t="n"/>
      <c r="D27" s="47" t="n"/>
      <c r="E27" s="46" t="n"/>
      <c r="F27" s="46" t="n"/>
      <c r="G27" s="46" t="n"/>
      <c r="H27" s="46" t="n"/>
      <c r="I27" s="46">
        <f>IF($A27="","",TEXT($A27,"YYYY-MM"))</f>
        <v/>
      </c>
      <c r="J27" s="46" t="n"/>
      <c r="K27" s="48" t="n"/>
      <c r="L27" s="48" t="n"/>
      <c r="M27" s="49">
        <f>IF($A27="","",IF(AND($K27&lt;&gt;"",$L27&lt;&gt;""),$K27,IF($F27="You",$D27,IF($F27="Wife",0,IF($F27="Shared",$D27/2,0)))))</f>
        <v/>
      </c>
      <c r="N27" s="49">
        <f>IF($A27="","",IF(AND($K27&lt;&gt;"",$L27&lt;&gt;""),$L27,IF($F27="You",0,IF($F27="Wife",$D27,IF($F27="Shared",$D27/2,0)))))</f>
        <v/>
      </c>
    </row>
    <row r="28" ht="15" customHeight="1" s="43">
      <c r="A28" s="50" t="n"/>
      <c r="B28" s="51" t="n"/>
      <c r="C28" s="51" t="n"/>
      <c r="D28" s="52" t="n"/>
      <c r="E28" s="51" t="n"/>
      <c r="F28" s="51" t="n"/>
      <c r="G28" s="51" t="n"/>
      <c r="H28" s="51" t="n"/>
      <c r="I28" s="51">
        <f>IF($A28="","",TEXT($A28,"YYYY-MM"))</f>
        <v/>
      </c>
      <c r="J28" s="51" t="n"/>
      <c r="K28" s="53" t="n"/>
      <c r="L28" s="53" t="n"/>
      <c r="M28" s="54">
        <f>IF($A28="","",IF(AND($K28&lt;&gt;"",$L28&lt;&gt;""),$K28,IF($F28="You",$D28,IF($F28="Wife",0,IF($F28="Shared",$D28/2,0)))))</f>
        <v/>
      </c>
      <c r="N28" s="54">
        <f>IF($A28="","",IF(AND($K28&lt;&gt;"",$L28&lt;&gt;""),$L28,IF($F28="You",0,IF($F28="Wife",$D28,IF($F28="Shared",$D28/2,0)))))</f>
        <v/>
      </c>
    </row>
    <row r="29" ht="15" customHeight="1" s="43">
      <c r="A29" s="45" t="n"/>
      <c r="B29" s="46" t="n"/>
      <c r="C29" s="46" t="n"/>
      <c r="D29" s="47" t="n"/>
      <c r="E29" s="46" t="n"/>
      <c r="F29" s="46" t="n"/>
      <c r="G29" s="46" t="n"/>
      <c r="H29" s="46" t="n"/>
      <c r="I29" s="46">
        <f>IF($A29="","",TEXT($A29,"YYYY-MM"))</f>
        <v/>
      </c>
      <c r="J29" s="46" t="n"/>
      <c r="K29" s="48" t="n"/>
      <c r="L29" s="48" t="n"/>
      <c r="M29" s="49">
        <f>IF($A29="","",IF(AND($K29&lt;&gt;"",$L29&lt;&gt;""),$K29,IF($F29="You",$D29,IF($F29="Wife",0,IF($F29="Shared",$D29/2,0)))))</f>
        <v/>
      </c>
      <c r="N29" s="49">
        <f>IF($A29="","",IF(AND($K29&lt;&gt;"",$L29&lt;&gt;""),$L29,IF($F29="You",0,IF($F29="Wife",$D29,IF($F29="Shared",$D29/2,0)))))</f>
        <v/>
      </c>
    </row>
    <row r="30" ht="15" customHeight="1" s="43">
      <c r="A30" s="50" t="n"/>
      <c r="B30" s="51" t="n"/>
      <c r="C30" s="51" t="n"/>
      <c r="D30" s="52" t="n"/>
      <c r="E30" s="51" t="n"/>
      <c r="F30" s="51" t="n"/>
      <c r="G30" s="51" t="n"/>
      <c r="H30" s="51" t="n"/>
      <c r="I30" s="51">
        <f>IF($A30="","",TEXT($A30,"YYYY-MM"))</f>
        <v/>
      </c>
      <c r="J30" s="51" t="n"/>
      <c r="K30" s="53" t="n"/>
      <c r="L30" s="53" t="n"/>
      <c r="M30" s="54">
        <f>IF($A30="","",IF(AND($K30&lt;&gt;"",$L30&lt;&gt;""),$K30,IF($F30="You",$D30,IF($F30="Wife",0,IF($F30="Shared",$D30/2,0)))))</f>
        <v/>
      </c>
      <c r="N30" s="54">
        <f>IF($A30="","",IF(AND($K30&lt;&gt;"",$L30&lt;&gt;""),$L30,IF($F30="You",0,IF($F30="Wife",$D30,IF($F30="Shared",$D30/2,0)))))</f>
        <v/>
      </c>
    </row>
    <row r="31" ht="15" customHeight="1" s="43">
      <c r="A31" s="45" t="n"/>
      <c r="B31" s="46" t="n"/>
      <c r="C31" s="46" t="n"/>
      <c r="D31" s="47" t="n"/>
      <c r="E31" s="46" t="n"/>
      <c r="F31" s="46" t="n"/>
      <c r="G31" s="46" t="n"/>
      <c r="H31" s="46" t="n"/>
      <c r="I31" s="46">
        <f>IF($A31="","",TEXT($A31,"YYYY-MM"))</f>
        <v/>
      </c>
      <c r="J31" s="46" t="n"/>
      <c r="K31" s="48" t="n"/>
      <c r="L31" s="48" t="n"/>
      <c r="M31" s="49">
        <f>IF($A31="","",IF(AND($K31&lt;&gt;"",$L31&lt;&gt;""),$K31,IF($F31="You",$D31,IF($F31="Wife",0,IF($F31="Shared",$D31/2,0)))))</f>
        <v/>
      </c>
      <c r="N31" s="49">
        <f>IF($A31="","",IF(AND($K31&lt;&gt;"",$L31&lt;&gt;""),$L31,IF($F31="You",0,IF($F31="Wife",$D31,IF($F31="Shared",$D31/2,0)))))</f>
        <v/>
      </c>
    </row>
    <row r="32" ht="15" customHeight="1" s="43">
      <c r="A32" s="50" t="n"/>
      <c r="B32" s="51" t="n"/>
      <c r="C32" s="51" t="n"/>
      <c r="D32" s="52" t="n"/>
      <c r="E32" s="51" t="n"/>
      <c r="F32" s="51" t="n"/>
      <c r="G32" s="51" t="n"/>
      <c r="H32" s="51" t="n"/>
      <c r="I32" s="51">
        <f>IF($A32="","",TEXT($A32,"YYYY-MM"))</f>
        <v/>
      </c>
      <c r="J32" s="51" t="n"/>
      <c r="K32" s="53" t="n"/>
      <c r="L32" s="53" t="n"/>
      <c r="M32" s="54">
        <f>IF($A32="","",IF(AND($K32&lt;&gt;"",$L32&lt;&gt;""),$K32,IF($F32="You",$D32,IF($F32="Wife",0,IF($F32="Shared",$D32/2,0)))))</f>
        <v/>
      </c>
      <c r="N32" s="54">
        <f>IF($A32="","",IF(AND($K32&lt;&gt;"",$L32&lt;&gt;""),$L32,IF($F32="You",0,IF($F32="Wife",$D32,IF($F32="Shared",$D32/2,0)))))</f>
        <v/>
      </c>
    </row>
    <row r="33" ht="15" customHeight="1" s="43">
      <c r="A33" s="45" t="n"/>
      <c r="B33" s="46" t="n"/>
      <c r="C33" s="46" t="n"/>
      <c r="D33" s="47" t="n"/>
      <c r="E33" s="46" t="n"/>
      <c r="F33" s="46" t="n"/>
      <c r="G33" s="46" t="n"/>
      <c r="H33" s="46" t="n"/>
      <c r="I33" s="46">
        <f>IF($A33="","",TEXT($A33,"YYYY-MM"))</f>
        <v/>
      </c>
      <c r="J33" s="46" t="n"/>
      <c r="K33" s="48" t="n"/>
      <c r="L33" s="48" t="n"/>
      <c r="M33" s="49">
        <f>IF($A33="","",IF(AND($K33&lt;&gt;"",$L33&lt;&gt;""),$K33,IF($F33="You",$D33,IF($F33="Wife",0,IF($F33="Shared",$D33/2,0)))))</f>
        <v/>
      </c>
      <c r="N33" s="49">
        <f>IF($A33="","",IF(AND($K33&lt;&gt;"",$L33&lt;&gt;""),$L33,IF($F33="You",0,IF($F33="Wife",$D33,IF($F33="Shared",$D33/2,0)))))</f>
        <v/>
      </c>
    </row>
    <row r="34" ht="15" customHeight="1" s="43">
      <c r="A34" s="50" t="n"/>
      <c r="B34" s="51" t="n"/>
      <c r="C34" s="51" t="n"/>
      <c r="D34" s="52" t="n"/>
      <c r="E34" s="51" t="n"/>
      <c r="F34" s="51" t="n"/>
      <c r="G34" s="51" t="n"/>
      <c r="H34" s="51" t="n"/>
      <c r="I34" s="51">
        <f>IF($A34="","",TEXT($A34,"YYYY-MM"))</f>
        <v/>
      </c>
      <c r="J34" s="51" t="n"/>
      <c r="K34" s="53" t="n"/>
      <c r="L34" s="53" t="n"/>
      <c r="M34" s="54">
        <f>IF($A34="","",IF(AND($K34&lt;&gt;"",$L34&lt;&gt;""),$K34,IF($F34="You",$D34,IF($F34="Wife",0,IF($F34="Shared",$D34/2,0)))))</f>
        <v/>
      </c>
      <c r="N34" s="54">
        <f>IF($A34="","",IF(AND($K34&lt;&gt;"",$L34&lt;&gt;""),$L34,IF($F34="You",0,IF($F34="Wife",$D34,IF($F34="Shared",$D34/2,0)))))</f>
        <v/>
      </c>
    </row>
    <row r="35" ht="15" customHeight="1" s="43">
      <c r="A35" s="45" t="n"/>
      <c r="B35" s="46" t="n"/>
      <c r="C35" s="46" t="n"/>
      <c r="D35" s="47" t="n"/>
      <c r="E35" s="46" t="n"/>
      <c r="F35" s="46" t="n"/>
      <c r="G35" s="46" t="n"/>
      <c r="H35" s="46" t="n"/>
      <c r="I35" s="46">
        <f>IF($A35="","",TEXT($A35,"YYYY-MM"))</f>
        <v/>
      </c>
      <c r="J35" s="46" t="n"/>
      <c r="K35" s="48" t="n"/>
      <c r="L35" s="48" t="n"/>
      <c r="M35" s="49">
        <f>IF($A35="","",IF(AND($K35&lt;&gt;"",$L35&lt;&gt;""),$K35,IF($F35="You",$D35,IF($F35="Wife",0,IF($F35="Shared",$D35/2,0)))))</f>
        <v/>
      </c>
      <c r="N35" s="49">
        <f>IF($A35="","",IF(AND($K35&lt;&gt;"",$L35&lt;&gt;""),$L35,IF($F35="You",0,IF($F35="Wife",$D35,IF($F35="Shared",$D35/2,0)))))</f>
        <v/>
      </c>
    </row>
    <row r="36" ht="15" customHeight="1" s="43">
      <c r="A36" s="50" t="n"/>
      <c r="B36" s="51" t="n"/>
      <c r="C36" s="51" t="n"/>
      <c r="D36" s="52" t="n"/>
      <c r="E36" s="51" t="n"/>
      <c r="F36" s="51" t="n"/>
      <c r="G36" s="51" t="n"/>
      <c r="H36" s="51" t="n"/>
      <c r="I36" s="51">
        <f>IF($A36="","",TEXT($A36,"YYYY-MM"))</f>
        <v/>
      </c>
      <c r="J36" s="51" t="n"/>
      <c r="K36" s="53" t="n"/>
      <c r="L36" s="53" t="n"/>
      <c r="M36" s="54">
        <f>IF($A36="","",IF(AND($K36&lt;&gt;"",$L36&lt;&gt;""),$K36,IF($F36="You",$D36,IF($F36="Wife",0,IF($F36="Shared",$D36/2,0)))))</f>
        <v/>
      </c>
      <c r="N36" s="54">
        <f>IF($A36="","",IF(AND($K36&lt;&gt;"",$L36&lt;&gt;""),$L36,IF($F36="You",0,IF($F36="Wife",$D36,IF($F36="Shared",$D36/2,0)))))</f>
        <v/>
      </c>
    </row>
    <row r="37" ht="15" customHeight="1" s="43">
      <c r="A37" s="45" t="n"/>
      <c r="B37" s="46" t="n"/>
      <c r="C37" s="46" t="n"/>
      <c r="D37" s="47" t="n"/>
      <c r="E37" s="46" t="n"/>
      <c r="F37" s="46" t="n"/>
      <c r="G37" s="46" t="n"/>
      <c r="H37" s="46" t="n"/>
      <c r="I37" s="46">
        <f>IF($A37="","",TEXT($A37,"YYYY-MM"))</f>
        <v/>
      </c>
      <c r="J37" s="46" t="n"/>
      <c r="K37" s="48" t="n"/>
      <c r="L37" s="48" t="n"/>
      <c r="M37" s="49">
        <f>IF($A37="","",IF(AND($K37&lt;&gt;"",$L37&lt;&gt;""),$K37,IF($F37="You",$D37,IF($F37="Wife",0,IF($F37="Shared",$D37/2,0)))))</f>
        <v/>
      </c>
      <c r="N37" s="49">
        <f>IF($A37="","",IF(AND($K37&lt;&gt;"",$L37&lt;&gt;""),$L37,IF($F37="You",0,IF($F37="Wife",$D37,IF($F37="Shared",$D37/2,0)))))</f>
        <v/>
      </c>
    </row>
    <row r="38" ht="15" customHeight="1" s="43">
      <c r="A38" s="50" t="n"/>
      <c r="B38" s="51" t="n"/>
      <c r="C38" s="51" t="n"/>
      <c r="D38" s="52" t="n"/>
      <c r="E38" s="51" t="n"/>
      <c r="F38" s="51" t="n"/>
      <c r="G38" s="51" t="n"/>
      <c r="H38" s="51" t="n"/>
      <c r="I38" s="51">
        <f>IF($A38="","",TEXT($A38,"YYYY-MM"))</f>
        <v/>
      </c>
      <c r="J38" s="51" t="n"/>
      <c r="K38" s="53" t="n"/>
      <c r="L38" s="53" t="n"/>
      <c r="M38" s="54">
        <f>IF($A38="","",IF(AND($K38&lt;&gt;"",$L38&lt;&gt;""),$K38,IF($F38="You",$D38,IF($F38="Wife",0,IF($F38="Shared",$D38/2,0)))))</f>
        <v/>
      </c>
      <c r="N38" s="54">
        <f>IF($A38="","",IF(AND($K38&lt;&gt;"",$L38&lt;&gt;""),$L38,IF($F38="You",0,IF($F38="Wife",$D38,IF($F38="Shared",$D38/2,0)))))</f>
        <v/>
      </c>
    </row>
    <row r="39" ht="15" customHeight="1" s="43">
      <c r="A39" s="45" t="n"/>
      <c r="B39" s="46" t="n"/>
      <c r="C39" s="46" t="n"/>
      <c r="D39" s="47" t="n"/>
      <c r="E39" s="46" t="n"/>
      <c r="F39" s="46" t="n"/>
      <c r="G39" s="46" t="n"/>
      <c r="H39" s="46" t="n"/>
      <c r="I39" s="46">
        <f>IF($A39="","",TEXT($A39,"YYYY-MM"))</f>
        <v/>
      </c>
      <c r="J39" s="46" t="n"/>
      <c r="K39" s="48" t="n"/>
      <c r="L39" s="48" t="n"/>
      <c r="M39" s="49">
        <f>IF($A39="","",IF(AND($K39&lt;&gt;"",$L39&lt;&gt;""),$K39,IF($F39="You",$D39,IF($F39="Wife",0,IF($F39="Shared",$D39/2,0)))))</f>
        <v/>
      </c>
      <c r="N39" s="49">
        <f>IF($A39="","",IF(AND($K39&lt;&gt;"",$L39&lt;&gt;""),$L39,IF($F39="You",0,IF($F39="Wife",$D39,IF($F39="Shared",$D39/2,0)))))</f>
        <v/>
      </c>
    </row>
    <row r="40" ht="15" customHeight="1" s="43">
      <c r="A40" s="50" t="n"/>
      <c r="B40" s="51" t="n"/>
      <c r="C40" s="51" t="n"/>
      <c r="D40" s="52" t="n"/>
      <c r="E40" s="51" t="n"/>
      <c r="F40" s="51" t="n"/>
      <c r="G40" s="51" t="n"/>
      <c r="H40" s="51" t="n"/>
      <c r="I40" s="51">
        <f>IF($A40="","",TEXT($A40,"YYYY-MM"))</f>
        <v/>
      </c>
      <c r="J40" s="51" t="n"/>
      <c r="K40" s="53" t="n"/>
      <c r="L40" s="53" t="n"/>
      <c r="M40" s="54">
        <f>IF($A40="","",IF(AND($K40&lt;&gt;"",$L40&lt;&gt;""),$K40,IF($F40="You",$D40,IF($F40="Wife",0,IF($F40="Shared",$D40/2,0)))))</f>
        <v/>
      </c>
      <c r="N40" s="54">
        <f>IF($A40="","",IF(AND($K40&lt;&gt;"",$L40&lt;&gt;""),$L40,IF($F40="You",0,IF($F40="Wife",$D40,IF($F40="Shared",$D40/2,0)))))</f>
        <v/>
      </c>
    </row>
    <row r="41" ht="15" customHeight="1" s="43">
      <c r="A41" s="45" t="n"/>
      <c r="B41" s="46" t="n"/>
      <c r="C41" s="46" t="n"/>
      <c r="D41" s="47" t="n"/>
      <c r="E41" s="46" t="n"/>
      <c r="F41" s="46" t="n"/>
      <c r="G41" s="46" t="n"/>
      <c r="H41" s="46" t="n"/>
      <c r="I41" s="46">
        <f>IF($A41="","",TEXT($A41,"YYYY-MM"))</f>
        <v/>
      </c>
      <c r="J41" s="46" t="n"/>
      <c r="K41" s="48" t="n"/>
      <c r="L41" s="48" t="n"/>
      <c r="M41" s="49">
        <f>IF($A41="","",IF(AND($K41&lt;&gt;"",$L41&lt;&gt;""),$K41,IF($F41="You",$D41,IF($F41="Wife",0,IF($F41="Shared",$D41/2,0)))))</f>
        <v/>
      </c>
      <c r="N41" s="49">
        <f>IF($A41="","",IF(AND($K41&lt;&gt;"",$L41&lt;&gt;""),$L41,IF($F41="You",0,IF($F41="Wife",$D41,IF($F41="Shared",$D41/2,0)))))</f>
        <v/>
      </c>
    </row>
    <row r="42" ht="15" customHeight="1" s="43">
      <c r="A42" s="50" t="n"/>
      <c r="B42" s="51" t="n"/>
      <c r="C42" s="51" t="n"/>
      <c r="D42" s="52" t="n"/>
      <c r="E42" s="51" t="n"/>
      <c r="F42" s="51" t="n"/>
      <c r="G42" s="51" t="n"/>
      <c r="H42" s="51" t="n"/>
      <c r="I42" s="51">
        <f>IF($A42="","",TEXT($A42,"YYYY-MM"))</f>
        <v/>
      </c>
      <c r="J42" s="51" t="n"/>
      <c r="K42" s="53" t="n"/>
      <c r="L42" s="53" t="n"/>
      <c r="M42" s="54">
        <f>IF($A42="","",IF(AND($K42&lt;&gt;"",$L42&lt;&gt;""),$K42,IF($F42="You",$D42,IF($F42="Wife",0,IF($F42="Shared",$D42/2,0)))))</f>
        <v/>
      </c>
      <c r="N42" s="54">
        <f>IF($A42="","",IF(AND($K42&lt;&gt;"",$L42&lt;&gt;""),$L42,IF($F42="You",0,IF($F42="Wife",$D42,IF($F42="Shared",$D42/2,0)))))</f>
        <v/>
      </c>
    </row>
    <row r="43" ht="15" customHeight="1" s="43">
      <c r="A43" s="45" t="n"/>
      <c r="B43" s="46" t="n"/>
      <c r="C43" s="46" t="n"/>
      <c r="D43" s="47" t="n"/>
      <c r="E43" s="46" t="n"/>
      <c r="F43" s="46" t="n"/>
      <c r="G43" s="46" t="n"/>
      <c r="H43" s="46" t="n"/>
      <c r="I43" s="46">
        <f>IF($A43="","",TEXT($A43,"YYYY-MM"))</f>
        <v/>
      </c>
      <c r="J43" s="46" t="n"/>
      <c r="K43" s="48" t="n"/>
      <c r="L43" s="48" t="n"/>
      <c r="M43" s="49">
        <f>IF($A43="","",IF(AND($K43&lt;&gt;"",$L43&lt;&gt;""),$K43,IF($F43="You",$D43,IF($F43="Wife",0,IF($F43="Shared",$D43/2,0)))))</f>
        <v/>
      </c>
      <c r="N43" s="49">
        <f>IF($A43="","",IF(AND($K43&lt;&gt;"",$L43&lt;&gt;""),$L43,IF($F43="You",0,IF($F43="Wife",$D43,IF($F43="Shared",$D43/2,0)))))</f>
        <v/>
      </c>
    </row>
    <row r="44" ht="15" customHeight="1" s="43">
      <c r="A44" s="50" t="n"/>
      <c r="B44" s="51" t="n"/>
      <c r="C44" s="51" t="n"/>
      <c r="D44" s="52" t="n"/>
      <c r="E44" s="51" t="n"/>
      <c r="F44" s="51" t="n"/>
      <c r="G44" s="51" t="n"/>
      <c r="H44" s="51" t="n"/>
      <c r="I44" s="51">
        <f>IF($A44="","",TEXT($A44,"YYYY-MM"))</f>
        <v/>
      </c>
      <c r="J44" s="51" t="n"/>
      <c r="K44" s="53" t="n"/>
      <c r="L44" s="53" t="n"/>
      <c r="M44" s="54">
        <f>IF($A44="","",IF(AND($K44&lt;&gt;"",$L44&lt;&gt;""),$K44,IF($F44="You",$D44,IF($F44="Wife",0,IF($F44="Shared",$D44/2,0)))))</f>
        <v/>
      </c>
      <c r="N44" s="54">
        <f>IF($A44="","",IF(AND($K44&lt;&gt;"",$L44&lt;&gt;""),$L44,IF($F44="You",0,IF($F44="Wife",$D44,IF($F44="Shared",$D44/2,0)))))</f>
        <v/>
      </c>
    </row>
    <row r="45" ht="15" customHeight="1" s="43">
      <c r="A45" s="45" t="n"/>
      <c r="B45" s="46" t="n"/>
      <c r="C45" s="46" t="n"/>
      <c r="D45" s="47" t="n"/>
      <c r="E45" s="46" t="n"/>
      <c r="F45" s="46" t="n"/>
      <c r="G45" s="46" t="n"/>
      <c r="H45" s="46" t="n"/>
      <c r="I45" s="46">
        <f>IF($A45="","",TEXT($A45,"YYYY-MM"))</f>
        <v/>
      </c>
      <c r="J45" s="46" t="n"/>
      <c r="K45" s="48" t="n"/>
      <c r="L45" s="48" t="n"/>
      <c r="M45" s="49">
        <f>IF($A45="","",IF(AND($K45&lt;&gt;"",$L45&lt;&gt;""),$K45,IF($F45="You",$D45,IF($F45="Wife",0,IF($F45="Shared",$D45/2,0)))))</f>
        <v/>
      </c>
      <c r="N45" s="49">
        <f>IF($A45="","",IF(AND($K45&lt;&gt;"",$L45&lt;&gt;""),$L45,IF($F45="You",0,IF($F45="Wife",$D45,IF($F45="Shared",$D45/2,0)))))</f>
        <v/>
      </c>
    </row>
    <row r="46" ht="15" customHeight="1" s="43">
      <c r="A46" s="50" t="n"/>
      <c r="B46" s="51" t="n"/>
      <c r="C46" s="51" t="n"/>
      <c r="D46" s="52" t="n"/>
      <c r="E46" s="51" t="n"/>
      <c r="F46" s="51" t="n"/>
      <c r="G46" s="51" t="n"/>
      <c r="H46" s="51" t="n"/>
      <c r="I46" s="51">
        <f>IF($A46="","",TEXT($A46,"YYYY-MM"))</f>
        <v/>
      </c>
      <c r="J46" s="51" t="n"/>
      <c r="K46" s="53" t="n"/>
      <c r="L46" s="53" t="n"/>
      <c r="M46" s="54">
        <f>IF($A46="","",IF(AND($K46&lt;&gt;"",$L46&lt;&gt;""),$K46,IF($F46="You",$D46,IF($F46="Wife",0,IF($F46="Shared",$D46/2,0)))))</f>
        <v/>
      </c>
      <c r="N46" s="54">
        <f>IF($A46="","",IF(AND($K46&lt;&gt;"",$L46&lt;&gt;""),$L46,IF($F46="You",0,IF($F46="Wife",$D46,IF($F46="Shared",$D46/2,0)))))</f>
        <v/>
      </c>
    </row>
    <row r="47" ht="15" customHeight="1" s="43">
      <c r="A47" s="45" t="n"/>
      <c r="B47" s="46" t="n"/>
      <c r="C47" s="46" t="n"/>
      <c r="D47" s="47" t="n"/>
      <c r="E47" s="46" t="n"/>
      <c r="F47" s="46" t="n"/>
      <c r="G47" s="46" t="n"/>
      <c r="H47" s="46" t="n"/>
      <c r="I47" s="46">
        <f>IF($A47="","",TEXT($A47,"YYYY-MM"))</f>
        <v/>
      </c>
      <c r="J47" s="46" t="n"/>
      <c r="K47" s="48" t="n"/>
      <c r="L47" s="48" t="n"/>
      <c r="M47" s="49">
        <f>IF($A47="","",IF(AND($K47&lt;&gt;"",$L47&lt;&gt;""),$K47,IF($F47="You",$D47,IF($F47="Wife",0,IF($F47="Shared",$D47/2,0)))))</f>
        <v/>
      </c>
      <c r="N47" s="49">
        <f>IF($A47="","",IF(AND($K47&lt;&gt;"",$L47&lt;&gt;""),$L47,IF($F47="You",0,IF($F47="Wife",$D47,IF($F47="Shared",$D47/2,0)))))</f>
        <v/>
      </c>
    </row>
    <row r="48" ht="15" customHeight="1" s="43">
      <c r="A48" s="50" t="n"/>
      <c r="B48" s="51" t="n"/>
      <c r="C48" s="51" t="n"/>
      <c r="D48" s="52" t="n"/>
      <c r="E48" s="51" t="n"/>
      <c r="F48" s="51" t="n"/>
      <c r="G48" s="51" t="n"/>
      <c r="H48" s="51" t="n"/>
      <c r="I48" s="51">
        <f>IF($A48="","",TEXT($A48,"YYYY-MM"))</f>
        <v/>
      </c>
      <c r="J48" s="51" t="n"/>
      <c r="K48" s="53" t="n"/>
      <c r="L48" s="53" t="n"/>
      <c r="M48" s="54">
        <f>IF($A48="","",IF(AND($K48&lt;&gt;"",$L48&lt;&gt;""),$K48,IF($F48="You",$D48,IF($F48="Wife",0,IF($F48="Shared",$D48/2,0)))))</f>
        <v/>
      </c>
      <c r="N48" s="54">
        <f>IF($A48="","",IF(AND($K48&lt;&gt;"",$L48&lt;&gt;""),$L48,IF($F48="You",0,IF($F48="Wife",$D48,IF($F48="Shared",$D48/2,0)))))</f>
        <v/>
      </c>
    </row>
    <row r="49" ht="15" customHeight="1" s="43">
      <c r="A49" s="45" t="n"/>
      <c r="B49" s="46" t="n"/>
      <c r="C49" s="46" t="n"/>
      <c r="D49" s="47" t="n"/>
      <c r="E49" s="46" t="n"/>
      <c r="F49" s="46" t="n"/>
      <c r="G49" s="46" t="n"/>
      <c r="H49" s="46" t="n"/>
      <c r="I49" s="46">
        <f>IF($A49="","",TEXT($A49,"YYYY-MM"))</f>
        <v/>
      </c>
      <c r="J49" s="46" t="n"/>
      <c r="K49" s="48" t="n"/>
      <c r="L49" s="48" t="n"/>
      <c r="M49" s="49">
        <f>IF($A49="","",IF(AND($K49&lt;&gt;"",$L49&lt;&gt;""),$K49,IF($F49="You",$D49,IF($F49="Wife",0,IF($F49="Shared",$D49/2,0)))))</f>
        <v/>
      </c>
      <c r="N49" s="49">
        <f>IF($A49="","",IF(AND($K49&lt;&gt;"",$L49&lt;&gt;""),$L49,IF($F49="You",0,IF($F49="Wife",$D49,IF($F49="Shared",$D49/2,0)))))</f>
        <v/>
      </c>
    </row>
    <row r="50" ht="15" customHeight="1" s="43">
      <c r="A50" s="50" t="n"/>
      <c r="B50" s="51" t="n"/>
      <c r="C50" s="51" t="n"/>
      <c r="D50" s="52" t="n"/>
      <c r="E50" s="51" t="n"/>
      <c r="F50" s="51" t="n"/>
      <c r="G50" s="51" t="n"/>
      <c r="H50" s="51" t="n"/>
      <c r="I50" s="51">
        <f>IF($A50="","",TEXT($A50,"YYYY-MM"))</f>
        <v/>
      </c>
      <c r="J50" s="51" t="n"/>
      <c r="K50" s="53" t="n"/>
      <c r="L50" s="53" t="n"/>
      <c r="M50" s="54">
        <f>IF($A50="","",IF(AND($K50&lt;&gt;"",$L50&lt;&gt;""),$K50,IF($F50="You",$D50,IF($F50="Wife",0,IF($F50="Shared",$D50/2,0)))))</f>
        <v/>
      </c>
      <c r="N50" s="54">
        <f>IF($A50="","",IF(AND($K50&lt;&gt;"",$L50&lt;&gt;""),$L50,IF($F50="You",0,IF($F50="Wife",$D50,IF($F50="Shared",$D50/2,0)))))</f>
        <v/>
      </c>
    </row>
    <row r="51" ht="15" customHeight="1" s="43">
      <c r="A51" s="45" t="n"/>
      <c r="B51" s="46" t="n"/>
      <c r="C51" s="46" t="n"/>
      <c r="D51" s="47" t="n"/>
      <c r="E51" s="46" t="n"/>
      <c r="F51" s="46" t="n"/>
      <c r="G51" s="46" t="n"/>
      <c r="H51" s="46" t="n"/>
      <c r="I51" s="46">
        <f>IF($A51="","",TEXT($A51,"YYYY-MM"))</f>
        <v/>
      </c>
      <c r="J51" s="46" t="n"/>
      <c r="K51" s="48" t="n"/>
      <c r="L51" s="48" t="n"/>
      <c r="M51" s="49">
        <f>IF($A51="","",IF(AND($K51&lt;&gt;"",$L51&lt;&gt;""),$K51,IF($F51="You",$D51,IF($F51="Wife",0,IF($F51="Shared",$D51/2,0)))))</f>
        <v/>
      </c>
      <c r="N51" s="49">
        <f>IF($A51="","",IF(AND($K51&lt;&gt;"",$L51&lt;&gt;""),$L51,IF($F51="You",0,IF($F51="Wife",$D51,IF($F51="Shared",$D51/2,0)))))</f>
        <v/>
      </c>
    </row>
    <row r="52" ht="15" customHeight="1" s="43">
      <c r="A52" s="50" t="n"/>
      <c r="B52" s="51" t="n"/>
      <c r="C52" s="51" t="n"/>
      <c r="D52" s="52" t="n"/>
      <c r="E52" s="51" t="n"/>
      <c r="F52" s="51" t="n"/>
      <c r="G52" s="51" t="n"/>
      <c r="H52" s="51" t="n"/>
      <c r="I52" s="51">
        <f>IF($A52="","",TEXT($A52,"YYYY-MM"))</f>
        <v/>
      </c>
      <c r="J52" s="51" t="n"/>
      <c r="K52" s="53" t="n"/>
      <c r="L52" s="53" t="n"/>
      <c r="M52" s="54">
        <f>IF($A52="","",IF(AND($K52&lt;&gt;"",$L52&lt;&gt;""),$K52,IF($F52="You",$D52,IF($F52="Wife",0,IF($F52="Shared",$D52/2,0)))))</f>
        <v/>
      </c>
      <c r="N52" s="54">
        <f>IF($A52="","",IF(AND($K52&lt;&gt;"",$L52&lt;&gt;""),$L52,IF($F52="You",0,IF($F52="Wife",$D52,IF($F52="Shared",$D52/2,0)))))</f>
        <v/>
      </c>
    </row>
    <row r="53" ht="15" customHeight="1" s="43">
      <c r="A53" s="45" t="n"/>
      <c r="B53" s="46" t="n"/>
      <c r="C53" s="46" t="n"/>
      <c r="D53" s="47" t="n"/>
      <c r="E53" s="46" t="n"/>
      <c r="F53" s="46" t="n"/>
      <c r="G53" s="46" t="n"/>
      <c r="H53" s="46" t="n"/>
      <c r="I53" s="46">
        <f>IF($A53="","",TEXT($A53,"YYYY-MM"))</f>
        <v/>
      </c>
      <c r="J53" s="46" t="n"/>
      <c r="K53" s="48" t="n"/>
      <c r="L53" s="48" t="n"/>
      <c r="M53" s="49">
        <f>IF($A53="","",IF(AND($K53&lt;&gt;"",$L53&lt;&gt;""),$K53,IF($F53="You",$D53,IF($F53="Wife",0,IF($F53="Shared",$D53/2,0)))))</f>
        <v/>
      </c>
      <c r="N53" s="49">
        <f>IF($A53="","",IF(AND($K53&lt;&gt;"",$L53&lt;&gt;""),$L53,IF($F53="You",0,IF($F53="Wife",$D53,IF($F53="Shared",$D53/2,0)))))</f>
        <v/>
      </c>
    </row>
    <row r="54" ht="15" customHeight="1" s="43">
      <c r="A54" s="50" t="n"/>
      <c r="B54" s="51" t="n"/>
      <c r="C54" s="51" t="n"/>
      <c r="D54" s="52" t="n"/>
      <c r="E54" s="51" t="n"/>
      <c r="F54" s="51" t="n"/>
      <c r="G54" s="51" t="n"/>
      <c r="H54" s="51" t="n"/>
      <c r="I54" s="51">
        <f>IF($A54="","",TEXT($A54,"YYYY-MM"))</f>
        <v/>
      </c>
      <c r="J54" s="51" t="n"/>
      <c r="K54" s="53" t="n"/>
      <c r="L54" s="53" t="n"/>
      <c r="M54" s="54">
        <f>IF($A54="","",IF(AND($K54&lt;&gt;"",$L54&lt;&gt;""),$K54,IF($F54="You",$D54,IF($F54="Wife",0,IF($F54="Shared",$D54/2,0)))))</f>
        <v/>
      </c>
      <c r="N54" s="54">
        <f>IF($A54="","",IF(AND($K54&lt;&gt;"",$L54&lt;&gt;""),$L54,IF($F54="You",0,IF($F54="Wife",$D54,IF($F54="Shared",$D54/2,0)))))</f>
        <v/>
      </c>
    </row>
    <row r="55" ht="15" customHeight="1" s="43">
      <c r="A55" s="45" t="n"/>
      <c r="B55" s="46" t="n"/>
      <c r="C55" s="46" t="n"/>
      <c r="D55" s="47" t="n"/>
      <c r="E55" s="46" t="n"/>
      <c r="F55" s="46" t="n"/>
      <c r="G55" s="46" t="n"/>
      <c r="H55" s="46" t="n"/>
      <c r="I55" s="46">
        <f>IF($A55="","",TEXT($A55,"YYYY-MM"))</f>
        <v/>
      </c>
      <c r="J55" s="46" t="n"/>
      <c r="K55" s="48" t="n"/>
      <c r="L55" s="48" t="n"/>
      <c r="M55" s="49">
        <f>IF($A55="","",IF(AND($K55&lt;&gt;"",$L55&lt;&gt;""),$K55,IF($F55="You",$D55,IF($F55="Wife",0,IF($F55="Shared",$D55/2,0)))))</f>
        <v/>
      </c>
      <c r="N55" s="49">
        <f>IF($A55="","",IF(AND($K55&lt;&gt;"",$L55&lt;&gt;""),$L55,IF($F55="You",0,IF($F55="Wife",$D55,IF($F55="Shared",$D55/2,0)))))</f>
        <v/>
      </c>
    </row>
    <row r="56" ht="15" customHeight="1" s="43">
      <c r="A56" s="50" t="n"/>
      <c r="B56" s="51" t="n"/>
      <c r="C56" s="51" t="n"/>
      <c r="D56" s="52" t="n"/>
      <c r="E56" s="51" t="n"/>
      <c r="F56" s="51" t="n"/>
      <c r="G56" s="51" t="n"/>
      <c r="H56" s="51" t="n"/>
      <c r="I56" s="51">
        <f>IF($A56="","",TEXT($A56,"YYYY-MM"))</f>
        <v/>
      </c>
      <c r="J56" s="51" t="n"/>
      <c r="K56" s="53" t="n"/>
      <c r="L56" s="53" t="n"/>
      <c r="M56" s="54">
        <f>IF($A56="","",IF(AND($K56&lt;&gt;"",$L56&lt;&gt;""),$K56,IF($F56="You",$D56,IF($F56="Wife",0,IF($F56="Shared",$D56/2,0)))))</f>
        <v/>
      </c>
      <c r="N56" s="54">
        <f>IF($A56="","",IF(AND($K56&lt;&gt;"",$L56&lt;&gt;""),$L56,IF($F56="You",0,IF($F56="Wife",$D56,IF($F56="Shared",$D56/2,0)))))</f>
        <v/>
      </c>
    </row>
    <row r="57" ht="15" customHeight="1" s="43">
      <c r="A57" s="45" t="n"/>
      <c r="B57" s="46" t="n"/>
      <c r="C57" s="46" t="n"/>
      <c r="D57" s="47" t="n"/>
      <c r="E57" s="46" t="n"/>
      <c r="F57" s="46" t="n"/>
      <c r="G57" s="46" t="n"/>
      <c r="H57" s="46" t="n"/>
      <c r="I57" s="46">
        <f>IF($A57="","",TEXT($A57,"YYYY-MM"))</f>
        <v/>
      </c>
      <c r="J57" s="46" t="n"/>
      <c r="K57" s="48" t="n"/>
      <c r="L57" s="48" t="n"/>
      <c r="M57" s="49">
        <f>IF($A57="","",IF(AND($K57&lt;&gt;"",$L57&lt;&gt;""),$K57,IF($F57="You",$D57,IF($F57="Wife",0,IF($F57="Shared",$D57/2,0)))))</f>
        <v/>
      </c>
      <c r="N57" s="49">
        <f>IF($A57="","",IF(AND($K57&lt;&gt;"",$L57&lt;&gt;""),$L57,IF($F57="You",0,IF($F57="Wife",$D57,IF($F57="Shared",$D57/2,0)))))</f>
        <v/>
      </c>
    </row>
    <row r="58" ht="15" customHeight="1" s="43">
      <c r="A58" s="50" t="n"/>
      <c r="B58" s="51" t="n"/>
      <c r="C58" s="51" t="n"/>
      <c r="D58" s="52" t="n"/>
      <c r="E58" s="51" t="n"/>
      <c r="F58" s="51" t="n"/>
      <c r="G58" s="51" t="n"/>
      <c r="H58" s="51" t="n"/>
      <c r="I58" s="51">
        <f>IF($A58="","",TEXT($A58,"YYYY-MM"))</f>
        <v/>
      </c>
      <c r="J58" s="51" t="n"/>
      <c r="K58" s="53" t="n"/>
      <c r="L58" s="53" t="n"/>
      <c r="M58" s="54">
        <f>IF($A58="","",IF(AND($K58&lt;&gt;"",$L58&lt;&gt;""),$K58,IF($F58="You",$D58,IF($F58="Wife",0,IF($F58="Shared",$D58/2,0)))))</f>
        <v/>
      </c>
      <c r="N58" s="54">
        <f>IF($A58="","",IF(AND($K58&lt;&gt;"",$L58&lt;&gt;""),$L58,IF($F58="You",0,IF($F58="Wife",$D58,IF($F58="Shared",$D58/2,0)))))</f>
        <v/>
      </c>
    </row>
    <row r="59" ht="15" customHeight="1" s="43">
      <c r="A59" s="45" t="n"/>
      <c r="B59" s="46" t="n"/>
      <c r="C59" s="46" t="n"/>
      <c r="D59" s="47" t="n"/>
      <c r="E59" s="46" t="n"/>
      <c r="F59" s="46" t="n"/>
      <c r="G59" s="46" t="n"/>
      <c r="H59" s="46" t="n"/>
      <c r="I59" s="46">
        <f>IF($A59="","",TEXT($A59,"YYYY-MM"))</f>
        <v/>
      </c>
      <c r="J59" s="46" t="n"/>
      <c r="K59" s="48" t="n"/>
      <c r="L59" s="48" t="n"/>
      <c r="M59" s="49">
        <f>IF($A59="","",IF(AND($K59&lt;&gt;"",$L59&lt;&gt;""),$K59,IF($F59="You",$D59,IF($F59="Wife",0,IF($F59="Shared",$D59/2,0)))))</f>
        <v/>
      </c>
      <c r="N59" s="49">
        <f>IF($A59="","",IF(AND($K59&lt;&gt;"",$L59&lt;&gt;""),$L59,IF($F59="You",0,IF($F59="Wife",$D59,IF($F59="Shared",$D59/2,0)))))</f>
        <v/>
      </c>
    </row>
    <row r="60" ht="15" customHeight="1" s="43">
      <c r="A60" s="50" t="n"/>
      <c r="B60" s="51" t="n"/>
      <c r="C60" s="51" t="n"/>
      <c r="D60" s="52" t="n"/>
      <c r="E60" s="51" t="n"/>
      <c r="F60" s="51" t="n"/>
      <c r="G60" s="51" t="n"/>
      <c r="H60" s="51" t="n"/>
      <c r="I60" s="51">
        <f>IF($A60="","",TEXT($A60,"YYYY-MM"))</f>
        <v/>
      </c>
      <c r="J60" s="51" t="n"/>
      <c r="K60" s="53" t="n"/>
      <c r="L60" s="53" t="n"/>
      <c r="M60" s="54">
        <f>IF($A60="","",IF(AND($K60&lt;&gt;"",$L60&lt;&gt;""),$K60,IF($F60="You",$D60,IF($F60="Wife",0,IF($F60="Shared",$D60/2,0)))))</f>
        <v/>
      </c>
      <c r="N60" s="54">
        <f>IF($A60="","",IF(AND($K60&lt;&gt;"",$L60&lt;&gt;""),$L60,IF($F60="You",0,IF($F60="Wife",$D60,IF($F60="Shared",$D60/2,0)))))</f>
        <v/>
      </c>
    </row>
    <row r="61" ht="15" customHeight="1" s="43">
      <c r="A61" s="45" t="n"/>
      <c r="B61" s="46" t="n"/>
      <c r="C61" s="46" t="n"/>
      <c r="D61" s="47" t="n"/>
      <c r="E61" s="46" t="n"/>
      <c r="F61" s="46" t="n"/>
      <c r="G61" s="46" t="n"/>
      <c r="H61" s="46" t="n"/>
      <c r="I61" s="46">
        <f>IF($A61="","",TEXT($A61,"YYYY-MM"))</f>
        <v/>
      </c>
      <c r="J61" s="46" t="n"/>
      <c r="K61" s="48" t="n"/>
      <c r="L61" s="48" t="n"/>
      <c r="M61" s="49">
        <f>IF($A61="","",IF(AND($K61&lt;&gt;"",$L61&lt;&gt;""),$K61,IF($F61="You",$D61,IF($F61="Wife",0,IF($F61="Shared",$D61/2,0)))))</f>
        <v/>
      </c>
      <c r="N61" s="49">
        <f>IF($A61="","",IF(AND($K61&lt;&gt;"",$L61&lt;&gt;""),$L61,IF($F61="You",0,IF($F61="Wife",$D61,IF($F61="Shared",$D61/2,0)))))</f>
        <v/>
      </c>
    </row>
    <row r="62" ht="15" customHeight="1" s="43">
      <c r="A62" s="50" t="n"/>
      <c r="B62" s="51" t="n"/>
      <c r="C62" s="51" t="n"/>
      <c r="D62" s="52" t="n"/>
      <c r="E62" s="51" t="n"/>
      <c r="F62" s="51" t="n"/>
      <c r="G62" s="51" t="n"/>
      <c r="H62" s="51" t="n"/>
      <c r="I62" s="51">
        <f>IF($A62="","",TEXT($A62,"YYYY-MM"))</f>
        <v/>
      </c>
      <c r="J62" s="51" t="n"/>
      <c r="K62" s="53" t="n"/>
      <c r="L62" s="53" t="n"/>
      <c r="M62" s="54">
        <f>IF($A62="","",IF(AND($K62&lt;&gt;"",$L62&lt;&gt;""),$K62,IF($F62="You",$D62,IF($F62="Wife",0,IF($F62="Shared",$D62/2,0)))))</f>
        <v/>
      </c>
      <c r="N62" s="54">
        <f>IF($A62="","",IF(AND($K62&lt;&gt;"",$L62&lt;&gt;""),$L62,IF($F62="You",0,IF($F62="Wife",$D62,IF($F62="Shared",$D62/2,0)))))</f>
        <v/>
      </c>
    </row>
    <row r="63" ht="15" customHeight="1" s="43">
      <c r="A63" s="45" t="n"/>
      <c r="B63" s="46" t="n"/>
      <c r="C63" s="46" t="n"/>
      <c r="D63" s="47" t="n"/>
      <c r="E63" s="46" t="n"/>
      <c r="F63" s="46" t="n"/>
      <c r="G63" s="46" t="n"/>
      <c r="H63" s="46" t="n"/>
      <c r="I63" s="46">
        <f>IF($A63="","",TEXT($A63,"YYYY-MM"))</f>
        <v/>
      </c>
      <c r="J63" s="46" t="n"/>
      <c r="K63" s="48" t="n"/>
      <c r="L63" s="48" t="n"/>
      <c r="M63" s="49">
        <f>IF($A63="","",IF(AND($K63&lt;&gt;"",$L63&lt;&gt;""),$K63,IF($F63="You",$D63,IF($F63="Wife",0,IF($F63="Shared",$D63/2,0)))))</f>
        <v/>
      </c>
      <c r="N63" s="49">
        <f>IF($A63="","",IF(AND($K63&lt;&gt;"",$L63&lt;&gt;""),$L63,IF($F63="You",0,IF($F63="Wife",$D63,IF($F63="Shared",$D63/2,0)))))</f>
        <v/>
      </c>
    </row>
    <row r="64" ht="15" customHeight="1" s="43">
      <c r="A64" s="50" t="n"/>
      <c r="B64" s="51" t="n"/>
      <c r="C64" s="51" t="n"/>
      <c r="D64" s="52" t="n"/>
      <c r="E64" s="51" t="n"/>
      <c r="F64" s="51" t="n"/>
      <c r="G64" s="51" t="n"/>
      <c r="H64" s="51" t="n"/>
      <c r="I64" s="51">
        <f>IF($A64="","",TEXT($A64,"YYYY-MM"))</f>
        <v/>
      </c>
      <c r="J64" s="51" t="n"/>
      <c r="K64" s="53" t="n"/>
      <c r="L64" s="53" t="n"/>
      <c r="M64" s="54">
        <f>IF($A64="","",IF(AND($K64&lt;&gt;"",$L64&lt;&gt;""),$K64,IF($F64="You",$D64,IF($F64="Wife",0,IF($F64="Shared",$D64/2,0)))))</f>
        <v/>
      </c>
      <c r="N64" s="54">
        <f>IF($A64="","",IF(AND($K64&lt;&gt;"",$L64&lt;&gt;""),$L64,IF($F64="You",0,IF($F64="Wife",$D64,IF($F64="Shared",$D64/2,0)))))</f>
        <v/>
      </c>
    </row>
    <row r="65" ht="15" customHeight="1" s="43">
      <c r="A65" s="45" t="n"/>
      <c r="B65" s="46" t="n"/>
      <c r="C65" s="46" t="n"/>
      <c r="D65" s="47" t="n"/>
      <c r="E65" s="46" t="n"/>
      <c r="F65" s="46" t="n"/>
      <c r="G65" s="46" t="n"/>
      <c r="H65" s="46" t="n"/>
      <c r="I65" s="46">
        <f>IF($A65="","",TEXT($A65,"YYYY-MM"))</f>
        <v/>
      </c>
      <c r="J65" s="46" t="n"/>
      <c r="K65" s="48" t="n"/>
      <c r="L65" s="48" t="n"/>
      <c r="M65" s="49">
        <f>IF($A65="","",IF(AND($K65&lt;&gt;"",$L65&lt;&gt;""),$K65,IF($F65="You",$D65,IF($F65="Wife",0,IF($F65="Shared",$D65/2,0)))))</f>
        <v/>
      </c>
      <c r="N65" s="49">
        <f>IF($A65="","",IF(AND($K65&lt;&gt;"",$L65&lt;&gt;""),$L65,IF($F65="You",0,IF($F65="Wife",$D65,IF($F65="Shared",$D65/2,0)))))</f>
        <v/>
      </c>
    </row>
    <row r="66" ht="15" customHeight="1" s="43">
      <c r="A66" s="50" t="n"/>
      <c r="B66" s="51" t="n"/>
      <c r="C66" s="51" t="n"/>
      <c r="D66" s="52" t="n"/>
      <c r="E66" s="51" t="n"/>
      <c r="F66" s="51" t="n"/>
      <c r="G66" s="51" t="n"/>
      <c r="H66" s="51" t="n"/>
      <c r="I66" s="51">
        <f>IF($A66="","",TEXT($A66,"YYYY-MM"))</f>
        <v/>
      </c>
      <c r="J66" s="51" t="n"/>
      <c r="K66" s="53" t="n"/>
      <c r="L66" s="53" t="n"/>
      <c r="M66" s="54">
        <f>IF($A66="","",IF(AND($K66&lt;&gt;"",$L66&lt;&gt;""),$K66,IF($F66="You",$D66,IF($F66="Wife",0,IF($F66="Shared",$D66/2,0)))))</f>
        <v/>
      </c>
      <c r="N66" s="54">
        <f>IF($A66="","",IF(AND($K66&lt;&gt;"",$L66&lt;&gt;""),$L66,IF($F66="You",0,IF($F66="Wife",$D66,IF($F66="Shared",$D66/2,0)))))</f>
        <v/>
      </c>
    </row>
    <row r="67" ht="15" customHeight="1" s="43">
      <c r="A67" s="45" t="n"/>
      <c r="B67" s="46" t="n"/>
      <c r="C67" s="46" t="n"/>
      <c r="D67" s="47" t="n"/>
      <c r="E67" s="46" t="n"/>
      <c r="F67" s="46" t="n"/>
      <c r="G67" s="46" t="n"/>
      <c r="H67" s="46" t="n"/>
      <c r="I67" s="46">
        <f>IF($A67="","",TEXT($A67,"YYYY-MM"))</f>
        <v/>
      </c>
      <c r="J67" s="46" t="n"/>
      <c r="K67" s="48" t="n"/>
      <c r="L67" s="48" t="n"/>
      <c r="M67" s="49">
        <f>IF($A67="","",IF(AND($K67&lt;&gt;"",$L67&lt;&gt;""),$K67,IF($F67="You",$D67,IF($F67="Wife",0,IF($F67="Shared",$D67/2,0)))))</f>
        <v/>
      </c>
      <c r="N67" s="49">
        <f>IF($A67="","",IF(AND($K67&lt;&gt;"",$L67&lt;&gt;""),$L67,IF($F67="You",0,IF($F67="Wife",$D67,IF($F67="Shared",$D67/2,0)))))</f>
        <v/>
      </c>
    </row>
    <row r="68" ht="15" customHeight="1" s="43">
      <c r="A68" s="50" t="n"/>
      <c r="B68" s="51" t="n"/>
      <c r="C68" s="51" t="n"/>
      <c r="D68" s="52" t="n"/>
      <c r="E68" s="51" t="n"/>
      <c r="F68" s="51" t="n"/>
      <c r="G68" s="51" t="n"/>
      <c r="H68" s="51" t="n"/>
      <c r="I68" s="51">
        <f>IF($A68="","",TEXT($A68,"YYYY-MM"))</f>
        <v/>
      </c>
      <c r="J68" s="51" t="n"/>
      <c r="K68" s="53" t="n"/>
      <c r="L68" s="53" t="n"/>
      <c r="M68" s="54">
        <f>IF($A68="","",IF(AND($K68&lt;&gt;"",$L68&lt;&gt;""),$K68,IF($F68="You",$D68,IF($F68="Wife",0,IF($F68="Shared",$D68/2,0)))))</f>
        <v/>
      </c>
      <c r="N68" s="54">
        <f>IF($A68="","",IF(AND($K68&lt;&gt;"",$L68&lt;&gt;""),$L68,IF($F68="You",0,IF($F68="Wife",$D68,IF($F68="Shared",$D68/2,0)))))</f>
        <v/>
      </c>
    </row>
    <row r="69" ht="15" customHeight="1" s="43">
      <c r="A69" s="45" t="n"/>
      <c r="B69" s="46" t="n"/>
      <c r="C69" s="46" t="n"/>
      <c r="D69" s="47" t="n"/>
      <c r="E69" s="46" t="n"/>
      <c r="F69" s="46" t="n"/>
      <c r="G69" s="46" t="n"/>
      <c r="H69" s="46" t="n"/>
      <c r="I69" s="46">
        <f>IF($A69="","",TEXT($A69,"YYYY-MM"))</f>
        <v/>
      </c>
      <c r="J69" s="46" t="n"/>
      <c r="K69" s="48" t="n"/>
      <c r="L69" s="48" t="n"/>
      <c r="M69" s="49">
        <f>IF($A69="","",IF(AND($K69&lt;&gt;"",$L69&lt;&gt;""),$K69,IF($F69="You",$D69,IF($F69="Wife",0,IF($F69="Shared",$D69/2,0)))))</f>
        <v/>
      </c>
      <c r="N69" s="49">
        <f>IF($A69="","",IF(AND($K69&lt;&gt;"",$L69&lt;&gt;""),$L69,IF($F69="You",0,IF($F69="Wife",$D69,IF($F69="Shared",$D69/2,0)))))</f>
        <v/>
      </c>
    </row>
    <row r="70" ht="15" customHeight="1" s="43">
      <c r="A70" s="50" t="n"/>
      <c r="B70" s="51" t="n"/>
      <c r="C70" s="51" t="n"/>
      <c r="D70" s="52" t="n"/>
      <c r="E70" s="51" t="n"/>
      <c r="F70" s="51" t="n"/>
      <c r="G70" s="51" t="n"/>
      <c r="H70" s="51" t="n"/>
      <c r="I70" s="51">
        <f>IF($A70="","",TEXT($A70,"YYYY-MM"))</f>
        <v/>
      </c>
      <c r="J70" s="51" t="n"/>
      <c r="K70" s="53" t="n"/>
      <c r="L70" s="53" t="n"/>
      <c r="M70" s="54">
        <f>IF($A70="","",IF(AND($K70&lt;&gt;"",$L70&lt;&gt;""),$K70,IF($F70="You",$D70,IF($F70="Wife",0,IF($F70="Shared",$D70/2,0)))))</f>
        <v/>
      </c>
      <c r="N70" s="54">
        <f>IF($A70="","",IF(AND($K70&lt;&gt;"",$L70&lt;&gt;""),$L70,IF($F70="You",0,IF($F70="Wife",$D70,IF($F70="Shared",$D70/2,0)))))</f>
        <v/>
      </c>
    </row>
    <row r="71" ht="15" customHeight="1" s="43">
      <c r="A71" s="45" t="n"/>
      <c r="B71" s="46" t="n"/>
      <c r="C71" s="46" t="n"/>
      <c r="D71" s="47" t="n"/>
      <c r="E71" s="46" t="n"/>
      <c r="F71" s="46" t="n"/>
      <c r="G71" s="46" t="n"/>
      <c r="H71" s="46" t="n"/>
      <c r="I71" s="46">
        <f>IF($A71="","",TEXT($A71,"YYYY-MM"))</f>
        <v/>
      </c>
      <c r="J71" s="46" t="n"/>
      <c r="K71" s="48" t="n"/>
      <c r="L71" s="48" t="n"/>
      <c r="M71" s="49">
        <f>IF($A71="","",IF(AND($K71&lt;&gt;"",$L71&lt;&gt;""),$K71,IF($F71="You",$D71,IF($F71="Wife",0,IF($F71="Shared",$D71/2,0)))))</f>
        <v/>
      </c>
      <c r="N71" s="49">
        <f>IF($A71="","",IF(AND($K71&lt;&gt;"",$L71&lt;&gt;""),$L71,IF($F71="You",0,IF($F71="Wife",$D71,IF($F71="Shared",$D71/2,0)))))</f>
        <v/>
      </c>
    </row>
    <row r="72" ht="15" customHeight="1" s="43">
      <c r="A72" s="50" t="n"/>
      <c r="B72" s="51" t="n"/>
      <c r="C72" s="51" t="n"/>
      <c r="D72" s="52" t="n"/>
      <c r="E72" s="51" t="n"/>
      <c r="F72" s="51" t="n"/>
      <c r="G72" s="51" t="n"/>
      <c r="H72" s="51" t="n"/>
      <c r="I72" s="51">
        <f>IF($A72="","",TEXT($A72,"YYYY-MM"))</f>
        <v/>
      </c>
      <c r="J72" s="51" t="n"/>
      <c r="K72" s="53" t="n"/>
      <c r="L72" s="53" t="n"/>
      <c r="M72" s="54">
        <f>IF($A72="","",IF(AND($K72&lt;&gt;"",$L72&lt;&gt;""),$K72,IF($F72="You",$D72,IF($F72="Wife",0,IF($F72="Shared",$D72/2,0)))))</f>
        <v/>
      </c>
      <c r="N72" s="54">
        <f>IF($A72="","",IF(AND($K72&lt;&gt;"",$L72&lt;&gt;""),$L72,IF($F72="You",0,IF($F72="Wife",$D72,IF($F72="Shared",$D72/2,0)))))</f>
        <v/>
      </c>
    </row>
    <row r="73" ht="15" customHeight="1" s="43">
      <c r="A73" s="45" t="n"/>
      <c r="B73" s="46" t="n"/>
      <c r="C73" s="46" t="n"/>
      <c r="D73" s="47" t="n"/>
      <c r="E73" s="46" t="n"/>
      <c r="F73" s="46" t="n"/>
      <c r="G73" s="46" t="n"/>
      <c r="H73" s="46" t="n"/>
      <c r="I73" s="46">
        <f>IF($A73="","",TEXT($A73,"YYYY-MM"))</f>
        <v/>
      </c>
      <c r="J73" s="46" t="n"/>
      <c r="K73" s="48" t="n"/>
      <c r="L73" s="48" t="n"/>
      <c r="M73" s="49">
        <f>IF($A73="","",IF(AND($K73&lt;&gt;"",$L73&lt;&gt;""),$K73,IF($F73="You",$D73,IF($F73="Wife",0,IF($F73="Shared",$D73/2,0)))))</f>
        <v/>
      </c>
      <c r="N73" s="49">
        <f>IF($A73="","",IF(AND($K73&lt;&gt;"",$L73&lt;&gt;""),$L73,IF($F73="You",0,IF($F73="Wife",$D73,IF($F73="Shared",$D73/2,0)))))</f>
        <v/>
      </c>
    </row>
    <row r="74" ht="15" customHeight="1" s="43">
      <c r="A74" s="50" t="n"/>
      <c r="B74" s="51" t="n"/>
      <c r="C74" s="51" t="n"/>
      <c r="D74" s="52" t="n"/>
      <c r="E74" s="51" t="n"/>
      <c r="F74" s="51" t="n"/>
      <c r="G74" s="51" t="n"/>
      <c r="H74" s="51" t="n"/>
      <c r="I74" s="51">
        <f>IF($A74="","",TEXT($A74,"YYYY-MM"))</f>
        <v/>
      </c>
      <c r="J74" s="51" t="n"/>
      <c r="K74" s="53" t="n"/>
      <c r="L74" s="53" t="n"/>
      <c r="M74" s="54">
        <f>IF($A74="","",IF(AND($K74&lt;&gt;"",$L74&lt;&gt;""),$K74,IF($F74="You",$D74,IF($F74="Wife",0,IF($F74="Shared",$D74/2,0)))))</f>
        <v/>
      </c>
      <c r="N74" s="54">
        <f>IF($A74="","",IF(AND($K74&lt;&gt;"",$L74&lt;&gt;""),$L74,IF($F74="You",0,IF($F74="Wife",$D74,IF($F74="Shared",$D74/2,0)))))</f>
        <v/>
      </c>
    </row>
    <row r="75" ht="15" customHeight="1" s="43">
      <c r="A75" s="45" t="n"/>
      <c r="B75" s="46" t="n"/>
      <c r="C75" s="46" t="n"/>
      <c r="D75" s="47" t="n"/>
      <c r="E75" s="46" t="n"/>
      <c r="F75" s="46" t="n"/>
      <c r="G75" s="46" t="n"/>
      <c r="H75" s="46" t="n"/>
      <c r="I75" s="46">
        <f>IF($A75="","",TEXT($A75,"YYYY-MM"))</f>
        <v/>
      </c>
      <c r="J75" s="46" t="n"/>
      <c r="K75" s="48" t="n"/>
      <c r="L75" s="48" t="n"/>
      <c r="M75" s="49">
        <f>IF($A75="","",IF(AND($K75&lt;&gt;"",$L75&lt;&gt;""),$K75,IF($F75="You",$D75,IF($F75="Wife",0,IF($F75="Shared",$D75/2,0)))))</f>
        <v/>
      </c>
      <c r="N75" s="49">
        <f>IF($A75="","",IF(AND($K75&lt;&gt;"",$L75&lt;&gt;""),$L75,IF($F75="You",0,IF($F75="Wife",$D75,IF($F75="Shared",$D75/2,0)))))</f>
        <v/>
      </c>
    </row>
    <row r="76" ht="15" customHeight="1" s="43">
      <c r="A76" s="50" t="n"/>
      <c r="B76" s="51" t="n"/>
      <c r="C76" s="51" t="n"/>
      <c r="D76" s="52" t="n"/>
      <c r="E76" s="51" t="n"/>
      <c r="F76" s="51" t="n"/>
      <c r="G76" s="51" t="n"/>
      <c r="H76" s="51" t="n"/>
      <c r="I76" s="51">
        <f>IF($A76="","",TEXT($A76,"YYYY-MM"))</f>
        <v/>
      </c>
      <c r="J76" s="51" t="n"/>
      <c r="K76" s="53" t="n"/>
      <c r="L76" s="53" t="n"/>
      <c r="M76" s="54">
        <f>IF($A76="","",IF(AND($K76&lt;&gt;"",$L76&lt;&gt;""),$K76,IF($F76="You",$D76,IF($F76="Wife",0,IF($F76="Shared",$D76/2,0)))))</f>
        <v/>
      </c>
      <c r="N76" s="54">
        <f>IF($A76="","",IF(AND($K76&lt;&gt;"",$L76&lt;&gt;""),$L76,IF($F76="You",0,IF($F76="Wife",$D76,IF($F76="Shared",$D76/2,0)))))</f>
        <v/>
      </c>
    </row>
    <row r="77" ht="15" customHeight="1" s="43">
      <c r="A77" s="45" t="n"/>
      <c r="B77" s="46" t="n"/>
      <c r="C77" s="46" t="n"/>
      <c r="D77" s="47" t="n"/>
      <c r="E77" s="46" t="n"/>
      <c r="F77" s="46" t="n"/>
      <c r="G77" s="46" t="n"/>
      <c r="H77" s="46" t="n"/>
      <c r="I77" s="46">
        <f>IF($A77="","",TEXT($A77,"YYYY-MM"))</f>
        <v/>
      </c>
      <c r="J77" s="46" t="n"/>
      <c r="K77" s="48" t="n"/>
      <c r="L77" s="48" t="n"/>
      <c r="M77" s="49">
        <f>IF($A77="","",IF(AND($K77&lt;&gt;"",$L77&lt;&gt;""),$K77,IF($F77="You",$D77,IF($F77="Wife",0,IF($F77="Shared",$D77/2,0)))))</f>
        <v/>
      </c>
      <c r="N77" s="49">
        <f>IF($A77="","",IF(AND($K77&lt;&gt;"",$L77&lt;&gt;""),$L77,IF($F77="You",0,IF($F77="Wife",$D77,IF($F77="Shared",$D77/2,0)))))</f>
        <v/>
      </c>
    </row>
    <row r="78" ht="15" customHeight="1" s="43">
      <c r="A78" s="50" t="n"/>
      <c r="B78" s="51" t="n"/>
      <c r="C78" s="51" t="n"/>
      <c r="D78" s="52" t="n"/>
      <c r="E78" s="51" t="n"/>
      <c r="F78" s="51" t="n"/>
      <c r="G78" s="51" t="n"/>
      <c r="H78" s="51" t="n"/>
      <c r="I78" s="51">
        <f>IF($A78="","",TEXT($A78,"YYYY-MM"))</f>
        <v/>
      </c>
      <c r="J78" s="51" t="n"/>
      <c r="K78" s="53" t="n"/>
      <c r="L78" s="53" t="n"/>
      <c r="M78" s="54">
        <f>IF($A78="","",IF(AND($K78&lt;&gt;"",$L78&lt;&gt;""),$K78,IF($F78="You",$D78,IF($F78="Wife",0,IF($F78="Shared",$D78/2,0)))))</f>
        <v/>
      </c>
      <c r="N78" s="54">
        <f>IF($A78="","",IF(AND($K78&lt;&gt;"",$L78&lt;&gt;""),$L78,IF($F78="You",0,IF($F78="Wife",$D78,IF($F78="Shared",$D78/2,0)))))</f>
        <v/>
      </c>
    </row>
    <row r="79" ht="15" customHeight="1" s="43">
      <c r="A79" s="45" t="n"/>
      <c r="B79" s="46" t="n"/>
      <c r="C79" s="46" t="n"/>
      <c r="D79" s="47" t="n"/>
      <c r="E79" s="46" t="n"/>
      <c r="F79" s="46" t="n"/>
      <c r="G79" s="46" t="n"/>
      <c r="H79" s="46" t="n"/>
      <c r="I79" s="46">
        <f>IF($A79="","",TEXT($A79,"YYYY-MM"))</f>
        <v/>
      </c>
      <c r="J79" s="46" t="n"/>
      <c r="K79" s="48" t="n"/>
      <c r="L79" s="48" t="n"/>
      <c r="M79" s="49">
        <f>IF($A79="","",IF(AND($K79&lt;&gt;"",$L79&lt;&gt;""),$K79,IF($F79="You",$D79,IF($F79="Wife",0,IF($F79="Shared",$D79/2,0)))))</f>
        <v/>
      </c>
      <c r="N79" s="49">
        <f>IF($A79="","",IF(AND($K79&lt;&gt;"",$L79&lt;&gt;""),$L79,IF($F79="You",0,IF($F79="Wife",$D79,IF($F79="Shared",$D79/2,0)))))</f>
        <v/>
      </c>
    </row>
    <row r="80" ht="15" customHeight="1" s="43">
      <c r="A80" s="50" t="n"/>
      <c r="B80" s="51" t="n"/>
      <c r="C80" s="51" t="n"/>
      <c r="D80" s="52" t="n"/>
      <c r="E80" s="51" t="n"/>
      <c r="F80" s="51" t="n"/>
      <c r="G80" s="51" t="n"/>
      <c r="H80" s="51" t="n"/>
      <c r="I80" s="51">
        <f>IF($A80="","",TEXT($A80,"YYYY-MM"))</f>
        <v/>
      </c>
      <c r="J80" s="51" t="n"/>
      <c r="K80" s="53" t="n"/>
      <c r="L80" s="53" t="n"/>
      <c r="M80" s="54">
        <f>IF($A80="","",IF(AND($K80&lt;&gt;"",$L80&lt;&gt;""),$K80,IF($F80="You",$D80,IF($F80="Wife",0,IF($F80="Shared",$D80/2,0)))))</f>
        <v/>
      </c>
      <c r="N80" s="54">
        <f>IF($A80="","",IF(AND($K80&lt;&gt;"",$L80&lt;&gt;""),$L80,IF($F80="You",0,IF($F80="Wife",$D80,IF($F80="Shared",$D80/2,0)))))</f>
        <v/>
      </c>
    </row>
    <row r="81" ht="15" customHeight="1" s="43">
      <c r="A81" s="45" t="n"/>
      <c r="B81" s="46" t="n"/>
      <c r="C81" s="46" t="n"/>
      <c r="D81" s="47" t="n"/>
      <c r="E81" s="46" t="n"/>
      <c r="F81" s="46" t="n"/>
      <c r="G81" s="46" t="n"/>
      <c r="H81" s="46" t="n"/>
      <c r="I81" s="46">
        <f>IF($A81="","",TEXT($A81,"YYYY-MM"))</f>
        <v/>
      </c>
      <c r="J81" s="46" t="n"/>
      <c r="K81" s="48" t="n"/>
      <c r="L81" s="48" t="n"/>
      <c r="M81" s="49">
        <f>IF($A81="","",IF(AND($K81&lt;&gt;"",$L81&lt;&gt;""),$K81,IF($F81="You",$D81,IF($F81="Wife",0,IF($F81="Shared",$D81/2,0)))))</f>
        <v/>
      </c>
      <c r="N81" s="49">
        <f>IF($A81="","",IF(AND($K81&lt;&gt;"",$L81&lt;&gt;""),$L81,IF($F81="You",0,IF($F81="Wife",$D81,IF($F81="Shared",$D81/2,0)))))</f>
        <v/>
      </c>
    </row>
    <row r="82" ht="15" customHeight="1" s="43">
      <c r="A82" s="50" t="n"/>
      <c r="B82" s="51" t="n"/>
      <c r="C82" s="51" t="n"/>
      <c r="D82" s="52" t="n"/>
      <c r="E82" s="51" t="n"/>
      <c r="F82" s="51" t="n"/>
      <c r="G82" s="51" t="n"/>
      <c r="H82" s="51" t="n"/>
      <c r="I82" s="51">
        <f>IF($A82="","",TEXT($A82,"YYYY-MM"))</f>
        <v/>
      </c>
      <c r="J82" s="51" t="n"/>
      <c r="K82" s="53" t="n"/>
      <c r="L82" s="53" t="n"/>
      <c r="M82" s="54">
        <f>IF($A82="","",IF(AND($K82&lt;&gt;"",$L82&lt;&gt;""),$K82,IF($F82="You",$D82,IF($F82="Wife",0,IF($F82="Shared",$D82/2,0)))))</f>
        <v/>
      </c>
      <c r="N82" s="54">
        <f>IF($A82="","",IF(AND($K82&lt;&gt;"",$L82&lt;&gt;""),$L82,IF($F82="You",0,IF($F82="Wife",$D82,IF($F82="Shared",$D82/2,0)))))</f>
        <v/>
      </c>
    </row>
    <row r="83" ht="15" customHeight="1" s="43">
      <c r="A83" s="45" t="n"/>
      <c r="B83" s="46" t="n"/>
      <c r="C83" s="46" t="n"/>
      <c r="D83" s="47" t="n"/>
      <c r="E83" s="46" t="n"/>
      <c r="F83" s="46" t="n"/>
      <c r="G83" s="46" t="n"/>
      <c r="H83" s="46" t="n"/>
      <c r="I83" s="46">
        <f>IF($A83="","",TEXT($A83,"YYYY-MM"))</f>
        <v/>
      </c>
      <c r="J83" s="46" t="n"/>
      <c r="K83" s="48" t="n"/>
      <c r="L83" s="48" t="n"/>
      <c r="M83" s="49">
        <f>IF($A83="","",IF(AND($K83&lt;&gt;"",$L83&lt;&gt;""),$K83,IF($F83="You",$D83,IF($F83="Wife",0,IF($F83="Shared",$D83/2,0)))))</f>
        <v/>
      </c>
      <c r="N83" s="49">
        <f>IF($A83="","",IF(AND($K83&lt;&gt;"",$L83&lt;&gt;""),$L83,IF($F83="You",0,IF($F83="Wife",$D83,IF($F83="Shared",$D83/2,0)))))</f>
        <v/>
      </c>
    </row>
    <row r="84" ht="15" customHeight="1" s="43">
      <c r="A84" s="50" t="n"/>
      <c r="B84" s="51" t="n"/>
      <c r="C84" s="51" t="n"/>
      <c r="D84" s="52" t="n"/>
      <c r="E84" s="51" t="n"/>
      <c r="F84" s="51" t="n"/>
      <c r="G84" s="51" t="n"/>
      <c r="H84" s="51" t="n"/>
      <c r="I84" s="51">
        <f>IF($A84="","",TEXT($A84,"YYYY-MM"))</f>
        <v/>
      </c>
      <c r="J84" s="51" t="n"/>
      <c r="K84" s="53" t="n"/>
      <c r="L84" s="53" t="n"/>
      <c r="M84" s="54">
        <f>IF($A84="","",IF(AND($K84&lt;&gt;"",$L84&lt;&gt;""),$K84,IF($F84="You",$D84,IF($F84="Wife",0,IF($F84="Shared",$D84/2,0)))))</f>
        <v/>
      </c>
      <c r="N84" s="54">
        <f>IF($A84="","",IF(AND($K84&lt;&gt;"",$L84&lt;&gt;""),$L84,IF($F84="You",0,IF($F84="Wife",$D84,IF($F84="Shared",$D84/2,0)))))</f>
        <v/>
      </c>
    </row>
    <row r="85" ht="15" customHeight="1" s="43">
      <c r="A85" s="45" t="n"/>
      <c r="B85" s="46" t="n"/>
      <c r="C85" s="46" t="n"/>
      <c r="D85" s="47" t="n"/>
      <c r="E85" s="46" t="n"/>
      <c r="F85" s="46" t="n"/>
      <c r="G85" s="46" t="n"/>
      <c r="H85" s="46" t="n"/>
      <c r="I85" s="46">
        <f>IF($A85="","",TEXT($A85,"YYYY-MM"))</f>
        <v/>
      </c>
      <c r="J85" s="46" t="n"/>
      <c r="K85" s="48" t="n"/>
      <c r="L85" s="48" t="n"/>
      <c r="M85" s="49">
        <f>IF($A85="","",IF(AND($K85&lt;&gt;"",$L85&lt;&gt;""),$K85,IF($F85="You",$D85,IF($F85="Wife",0,IF($F85="Shared",$D85/2,0)))))</f>
        <v/>
      </c>
      <c r="N85" s="49">
        <f>IF($A85="","",IF(AND($K85&lt;&gt;"",$L85&lt;&gt;""),$L85,IF($F85="You",0,IF($F85="Wife",$D85,IF($F85="Shared",$D85/2,0)))))</f>
        <v/>
      </c>
    </row>
    <row r="86" ht="15" customHeight="1" s="43">
      <c r="A86" s="50" t="n"/>
      <c r="B86" s="51" t="n"/>
      <c r="C86" s="51" t="n"/>
      <c r="D86" s="52" t="n"/>
      <c r="E86" s="51" t="n"/>
      <c r="F86" s="51" t="n"/>
      <c r="G86" s="51" t="n"/>
      <c r="H86" s="51" t="n"/>
      <c r="I86" s="51">
        <f>IF($A86="","",TEXT($A86,"YYYY-MM"))</f>
        <v/>
      </c>
      <c r="J86" s="51" t="n"/>
      <c r="K86" s="53" t="n"/>
      <c r="L86" s="53" t="n"/>
      <c r="M86" s="54">
        <f>IF($A86="","",IF(AND($K86&lt;&gt;"",$L86&lt;&gt;""),$K86,IF($F86="You",$D86,IF($F86="Wife",0,IF($F86="Shared",$D86/2,0)))))</f>
        <v/>
      </c>
      <c r="N86" s="54">
        <f>IF($A86="","",IF(AND($K86&lt;&gt;"",$L86&lt;&gt;""),$L86,IF($F86="You",0,IF($F86="Wife",$D86,IF($F86="Shared",$D86/2,0)))))</f>
        <v/>
      </c>
    </row>
    <row r="87" ht="15" customHeight="1" s="43">
      <c r="A87" s="45" t="n"/>
      <c r="B87" s="46" t="n"/>
      <c r="C87" s="46" t="n"/>
      <c r="D87" s="47" t="n"/>
      <c r="E87" s="46" t="n"/>
      <c r="F87" s="46" t="n"/>
      <c r="G87" s="46" t="n"/>
      <c r="H87" s="46" t="n"/>
      <c r="I87" s="46">
        <f>IF($A87="","",TEXT($A87,"YYYY-MM"))</f>
        <v/>
      </c>
      <c r="J87" s="46" t="n"/>
      <c r="K87" s="48" t="n"/>
      <c r="L87" s="48" t="n"/>
      <c r="M87" s="49">
        <f>IF($A87="","",IF(AND($K87&lt;&gt;"",$L87&lt;&gt;""),$K87,IF($F87="You",$D87,IF($F87="Wife",0,IF($F87="Shared",$D87/2,0)))))</f>
        <v/>
      </c>
      <c r="N87" s="49">
        <f>IF($A87="","",IF(AND($K87&lt;&gt;"",$L87&lt;&gt;""),$L87,IF($F87="You",0,IF($F87="Wife",$D87,IF($F87="Shared",$D87/2,0)))))</f>
        <v/>
      </c>
    </row>
    <row r="88" ht="15" customHeight="1" s="43">
      <c r="A88" s="50" t="n"/>
      <c r="B88" s="51" t="n"/>
      <c r="C88" s="51" t="n"/>
      <c r="D88" s="52" t="n"/>
      <c r="E88" s="51" t="n"/>
      <c r="F88" s="51" t="n"/>
      <c r="G88" s="51" t="n"/>
      <c r="H88" s="51" t="n"/>
      <c r="I88" s="51">
        <f>IF($A88="","",TEXT($A88,"YYYY-MM"))</f>
        <v/>
      </c>
      <c r="J88" s="51" t="n"/>
      <c r="K88" s="53" t="n"/>
      <c r="L88" s="53" t="n"/>
      <c r="M88" s="54">
        <f>IF($A88="","",IF(AND($K88&lt;&gt;"",$L88&lt;&gt;""),$K88,IF($F88="You",$D88,IF($F88="Wife",0,IF($F88="Shared",$D88/2,0)))))</f>
        <v/>
      </c>
      <c r="N88" s="54">
        <f>IF($A88="","",IF(AND($K88&lt;&gt;"",$L88&lt;&gt;""),$L88,IF($F88="You",0,IF($F88="Wife",$D88,IF($F88="Shared",$D88/2,0)))))</f>
        <v/>
      </c>
    </row>
    <row r="89" ht="15" customHeight="1" s="43">
      <c r="A89" s="45" t="n"/>
      <c r="B89" s="46" t="n"/>
      <c r="C89" s="46" t="n"/>
      <c r="D89" s="47" t="n"/>
      <c r="E89" s="46" t="n"/>
      <c r="F89" s="46" t="n"/>
      <c r="G89" s="46" t="n"/>
      <c r="H89" s="46" t="n"/>
      <c r="I89" s="46">
        <f>IF($A89="","",TEXT($A89,"YYYY-MM"))</f>
        <v/>
      </c>
      <c r="J89" s="46" t="n"/>
      <c r="K89" s="48" t="n"/>
      <c r="L89" s="48" t="n"/>
      <c r="M89" s="49">
        <f>IF($A89="","",IF(AND($K89&lt;&gt;"",$L89&lt;&gt;""),$K89,IF($F89="You",$D89,IF($F89="Wife",0,IF($F89="Shared",$D89/2,0)))))</f>
        <v/>
      </c>
      <c r="N89" s="49">
        <f>IF($A89="","",IF(AND($K89&lt;&gt;"",$L89&lt;&gt;""),$L89,IF($F89="You",0,IF($F89="Wife",$D89,IF($F89="Shared",$D89/2,0)))))</f>
        <v/>
      </c>
    </row>
    <row r="90" ht="15" customHeight="1" s="43">
      <c r="A90" s="50" t="n"/>
      <c r="B90" s="51" t="n"/>
      <c r="C90" s="51" t="n"/>
      <c r="D90" s="52" t="n"/>
      <c r="E90" s="51" t="n"/>
      <c r="F90" s="51" t="n"/>
      <c r="G90" s="51" t="n"/>
      <c r="H90" s="51" t="n"/>
      <c r="I90" s="51">
        <f>IF($A90="","",TEXT($A90,"YYYY-MM"))</f>
        <v/>
      </c>
      <c r="J90" s="51" t="n"/>
      <c r="K90" s="53" t="n"/>
      <c r="L90" s="53" t="n"/>
      <c r="M90" s="54">
        <f>IF($A90="","",IF(AND($K90&lt;&gt;"",$L90&lt;&gt;""),$K90,IF($F90="You",$D90,IF($F90="Wife",0,IF($F90="Shared",$D90/2,0)))))</f>
        <v/>
      </c>
      <c r="N90" s="54">
        <f>IF($A90="","",IF(AND($K90&lt;&gt;"",$L90&lt;&gt;""),$L90,IF($F90="You",0,IF($F90="Wife",$D90,IF($F90="Shared",$D90/2,0)))))</f>
        <v/>
      </c>
    </row>
    <row r="91" ht="15" customHeight="1" s="43">
      <c r="A91" s="45" t="n"/>
      <c r="B91" s="46" t="n"/>
      <c r="C91" s="46" t="n"/>
      <c r="D91" s="47" t="n"/>
      <c r="E91" s="46" t="n"/>
      <c r="F91" s="46" t="n"/>
      <c r="G91" s="46" t="n"/>
      <c r="H91" s="46" t="n"/>
      <c r="I91" s="46">
        <f>IF($A91="","",TEXT($A91,"YYYY-MM"))</f>
        <v/>
      </c>
      <c r="J91" s="46" t="n"/>
      <c r="K91" s="48" t="n"/>
      <c r="L91" s="48" t="n"/>
      <c r="M91" s="49">
        <f>IF($A91="","",IF(AND($K91&lt;&gt;"",$L91&lt;&gt;""),$K91,IF($F91="You",$D91,IF($F91="Wife",0,IF($F91="Shared",$D91/2,0)))))</f>
        <v/>
      </c>
      <c r="N91" s="49">
        <f>IF($A91="","",IF(AND($K91&lt;&gt;"",$L91&lt;&gt;""),$L91,IF($F91="You",0,IF($F91="Wife",$D91,IF($F91="Shared",$D91/2,0)))))</f>
        <v/>
      </c>
    </row>
    <row r="92" ht="15" customHeight="1" s="43">
      <c r="A92" s="50" t="n"/>
      <c r="B92" s="51" t="n"/>
      <c r="C92" s="51" t="n"/>
      <c r="D92" s="52" t="n"/>
      <c r="E92" s="51" t="n"/>
      <c r="F92" s="51" t="n"/>
      <c r="G92" s="51" t="n"/>
      <c r="H92" s="51" t="n"/>
      <c r="I92" s="51">
        <f>IF($A92="","",TEXT($A92,"YYYY-MM"))</f>
        <v/>
      </c>
      <c r="J92" s="51" t="n"/>
      <c r="K92" s="53" t="n"/>
      <c r="L92" s="53" t="n"/>
      <c r="M92" s="54">
        <f>IF($A92="","",IF(AND($K92&lt;&gt;"",$L92&lt;&gt;""),$K92,IF($F92="You",$D92,IF($F92="Wife",0,IF($F92="Shared",$D92/2,0)))))</f>
        <v/>
      </c>
      <c r="N92" s="54">
        <f>IF($A92="","",IF(AND($K92&lt;&gt;"",$L92&lt;&gt;""),$L92,IF($F92="You",0,IF($F92="Wife",$D92,IF($F92="Shared",$D92/2,0)))))</f>
        <v/>
      </c>
    </row>
    <row r="93" ht="15" customHeight="1" s="43">
      <c r="A93" s="45" t="n"/>
      <c r="B93" s="46" t="n"/>
      <c r="C93" s="46" t="n"/>
      <c r="D93" s="47" t="n"/>
      <c r="E93" s="46" t="n"/>
      <c r="F93" s="46" t="n"/>
      <c r="G93" s="46" t="n"/>
      <c r="H93" s="46" t="n"/>
      <c r="I93" s="46">
        <f>IF($A93="","",TEXT($A93,"YYYY-MM"))</f>
        <v/>
      </c>
      <c r="J93" s="46" t="n"/>
      <c r="K93" s="48" t="n"/>
      <c r="L93" s="48" t="n"/>
      <c r="M93" s="49">
        <f>IF($A93="","",IF(AND($K93&lt;&gt;"",$L93&lt;&gt;""),$K93,IF($F93="You",$D93,IF($F93="Wife",0,IF($F93="Shared",$D93/2,0)))))</f>
        <v/>
      </c>
      <c r="N93" s="49">
        <f>IF($A93="","",IF(AND($K93&lt;&gt;"",$L93&lt;&gt;""),$L93,IF($F93="You",0,IF($F93="Wife",$D93,IF($F93="Shared",$D93/2,0)))))</f>
        <v/>
      </c>
    </row>
    <row r="94" ht="15" customHeight="1" s="43">
      <c r="A94" s="50" t="n"/>
      <c r="B94" s="51" t="n"/>
      <c r="C94" s="51" t="n"/>
      <c r="D94" s="52" t="n"/>
      <c r="E94" s="51" t="n"/>
      <c r="F94" s="51" t="n"/>
      <c r="G94" s="51" t="n"/>
      <c r="H94" s="51" t="n"/>
      <c r="I94" s="51">
        <f>IF($A94="","",TEXT($A94,"YYYY-MM"))</f>
        <v/>
      </c>
      <c r="J94" s="51" t="n"/>
      <c r="K94" s="53" t="n"/>
      <c r="L94" s="53" t="n"/>
      <c r="M94" s="54">
        <f>IF($A94="","",IF(AND($K94&lt;&gt;"",$L94&lt;&gt;""),$K94,IF($F94="You",$D94,IF($F94="Wife",0,IF($F94="Shared",$D94/2,0)))))</f>
        <v/>
      </c>
      <c r="N94" s="54">
        <f>IF($A94="","",IF(AND($K94&lt;&gt;"",$L94&lt;&gt;""),$L94,IF($F94="You",0,IF($F94="Wife",$D94,IF($F94="Shared",$D94/2,0)))))</f>
        <v/>
      </c>
    </row>
    <row r="95" ht="15" customHeight="1" s="43">
      <c r="A95" s="45" t="n"/>
      <c r="B95" s="46" t="n"/>
      <c r="C95" s="46" t="n"/>
      <c r="D95" s="47" t="n"/>
      <c r="E95" s="46" t="n"/>
      <c r="F95" s="46" t="n"/>
      <c r="G95" s="46" t="n"/>
      <c r="H95" s="46" t="n"/>
      <c r="I95" s="46">
        <f>IF($A95="","",TEXT($A95,"YYYY-MM"))</f>
        <v/>
      </c>
      <c r="J95" s="46" t="n"/>
      <c r="K95" s="48" t="n"/>
      <c r="L95" s="48" t="n"/>
      <c r="M95" s="49">
        <f>IF($A95="","",IF(AND($K95&lt;&gt;"",$L95&lt;&gt;""),$K95,IF($F95="You",$D95,IF($F95="Wife",0,IF($F95="Shared",$D95/2,0)))))</f>
        <v/>
      </c>
      <c r="N95" s="49">
        <f>IF($A95="","",IF(AND($K95&lt;&gt;"",$L95&lt;&gt;""),$L95,IF($F95="You",0,IF($F95="Wife",$D95,IF($F95="Shared",$D95/2,0)))))</f>
        <v/>
      </c>
    </row>
    <row r="96" ht="15" customHeight="1" s="43">
      <c r="A96" s="50" t="n"/>
      <c r="B96" s="51" t="n"/>
      <c r="C96" s="51" t="n"/>
      <c r="D96" s="52" t="n"/>
      <c r="E96" s="51" t="n"/>
      <c r="F96" s="51" t="n"/>
      <c r="G96" s="51" t="n"/>
      <c r="H96" s="51" t="n"/>
      <c r="I96" s="51">
        <f>IF($A96="","",TEXT($A96,"YYYY-MM"))</f>
        <v/>
      </c>
      <c r="J96" s="51" t="n"/>
      <c r="K96" s="53" t="n"/>
      <c r="L96" s="53" t="n"/>
      <c r="M96" s="54">
        <f>IF($A96="","",IF(AND($K96&lt;&gt;"",$L96&lt;&gt;""),$K96,IF($F96="You",$D96,IF($F96="Wife",0,IF($F96="Shared",$D96/2,0)))))</f>
        <v/>
      </c>
      <c r="N96" s="54">
        <f>IF($A96="","",IF(AND($K96&lt;&gt;"",$L96&lt;&gt;""),$L96,IF($F96="You",0,IF($F96="Wife",$D96,IF($F96="Shared",$D96/2,0)))))</f>
        <v/>
      </c>
    </row>
    <row r="97" ht="15" customHeight="1" s="43">
      <c r="A97" s="45" t="n"/>
      <c r="B97" s="46" t="n"/>
      <c r="C97" s="46" t="n"/>
      <c r="D97" s="47" t="n"/>
      <c r="E97" s="46" t="n"/>
      <c r="F97" s="46" t="n"/>
      <c r="G97" s="46" t="n"/>
      <c r="H97" s="46" t="n"/>
      <c r="I97" s="46">
        <f>IF($A97="","",TEXT($A97,"YYYY-MM"))</f>
        <v/>
      </c>
      <c r="J97" s="46" t="n"/>
      <c r="K97" s="48" t="n"/>
      <c r="L97" s="48" t="n"/>
      <c r="M97" s="49">
        <f>IF($A97="","",IF(AND($K97&lt;&gt;"",$L97&lt;&gt;""),$K97,IF($F97="You",$D97,IF($F97="Wife",0,IF($F97="Shared",$D97/2,0)))))</f>
        <v/>
      </c>
      <c r="N97" s="49">
        <f>IF($A97="","",IF(AND($K97&lt;&gt;"",$L97&lt;&gt;""),$L97,IF($F97="You",0,IF($F97="Wife",$D97,IF($F97="Shared",$D97/2,0)))))</f>
        <v/>
      </c>
    </row>
    <row r="98" ht="15" customHeight="1" s="43">
      <c r="A98" s="50" t="n"/>
      <c r="B98" s="51" t="n"/>
      <c r="C98" s="51" t="n"/>
      <c r="D98" s="52" t="n"/>
      <c r="E98" s="51" t="n"/>
      <c r="F98" s="51" t="n"/>
      <c r="G98" s="51" t="n"/>
      <c r="H98" s="51" t="n"/>
      <c r="I98" s="51">
        <f>IF($A98="","",TEXT($A98,"YYYY-MM"))</f>
        <v/>
      </c>
      <c r="J98" s="51" t="n"/>
      <c r="K98" s="53" t="n"/>
      <c r="L98" s="53" t="n"/>
      <c r="M98" s="54">
        <f>IF($A98="","",IF(AND($K98&lt;&gt;"",$L98&lt;&gt;""),$K98,IF($F98="You",$D98,IF($F98="Wife",0,IF($F98="Shared",$D98/2,0)))))</f>
        <v/>
      </c>
      <c r="N98" s="54">
        <f>IF($A98="","",IF(AND($K98&lt;&gt;"",$L98&lt;&gt;""),$L98,IF($F98="You",0,IF($F98="Wife",$D98,IF($F98="Shared",$D98/2,0)))))</f>
        <v/>
      </c>
    </row>
    <row r="99" ht="15" customHeight="1" s="43">
      <c r="A99" s="45" t="n"/>
      <c r="B99" s="46" t="n"/>
      <c r="C99" s="46" t="n"/>
      <c r="D99" s="47" t="n"/>
      <c r="E99" s="46" t="n"/>
      <c r="F99" s="46" t="n"/>
      <c r="G99" s="46" t="n"/>
      <c r="H99" s="46" t="n"/>
      <c r="I99" s="46">
        <f>IF($A99="","",TEXT($A99,"YYYY-MM"))</f>
        <v/>
      </c>
      <c r="J99" s="46" t="n"/>
      <c r="K99" s="48" t="n"/>
      <c r="L99" s="48" t="n"/>
      <c r="M99" s="49">
        <f>IF($A99="","",IF(AND($K99&lt;&gt;"",$L99&lt;&gt;""),$K99,IF($F99="You",$D99,IF($F99="Wife",0,IF($F99="Shared",$D99/2,0)))))</f>
        <v/>
      </c>
      <c r="N99" s="49">
        <f>IF($A99="","",IF(AND($K99&lt;&gt;"",$L99&lt;&gt;""),$L99,IF($F99="You",0,IF($F99="Wife",$D99,IF($F99="Shared",$D99/2,0)))))</f>
        <v/>
      </c>
    </row>
    <row r="100" ht="15" customHeight="1" s="43">
      <c r="A100" s="50" t="n"/>
      <c r="B100" s="51" t="n"/>
      <c r="C100" s="51" t="n"/>
      <c r="D100" s="52" t="n"/>
      <c r="E100" s="51" t="n"/>
      <c r="F100" s="51" t="n"/>
      <c r="G100" s="51" t="n"/>
      <c r="H100" s="51" t="n"/>
      <c r="I100" s="51">
        <f>IF($A100="","",TEXT($A100,"YYYY-MM"))</f>
        <v/>
      </c>
      <c r="J100" s="51" t="n"/>
      <c r="K100" s="53" t="n"/>
      <c r="L100" s="53" t="n"/>
      <c r="M100" s="54">
        <f>IF($A100="","",IF(AND($K100&lt;&gt;"",$L100&lt;&gt;""),$K100,IF($F100="You",$D100,IF($F100="Wife",0,IF($F100="Shared",$D100/2,0)))))</f>
        <v/>
      </c>
      <c r="N100" s="54">
        <f>IF($A100="","",IF(AND($K100&lt;&gt;"",$L100&lt;&gt;""),$L100,IF($F100="You",0,IF($F100="Wife",$D100,IF($F100="Shared",$D100/2,0)))))</f>
        <v/>
      </c>
    </row>
    <row r="101" ht="15" customHeight="1" s="43">
      <c r="A101" s="45" t="n"/>
      <c r="B101" s="46" t="n"/>
      <c r="C101" s="46" t="n"/>
      <c r="D101" s="47" t="n"/>
      <c r="E101" s="46" t="n"/>
      <c r="F101" s="46" t="n"/>
      <c r="G101" s="46" t="n"/>
      <c r="H101" s="46" t="n"/>
      <c r="I101" s="46">
        <f>IF($A101="","",TEXT($A101,"YYYY-MM"))</f>
        <v/>
      </c>
      <c r="J101" s="46" t="n"/>
      <c r="K101" s="48" t="n"/>
      <c r="L101" s="48" t="n"/>
      <c r="M101" s="49">
        <f>IF($A101="","",IF(AND($K101&lt;&gt;"",$L101&lt;&gt;""),$K101,IF($F101="You",$D101,IF($F101="Wife",0,IF($F101="Shared",$D101/2,0)))))</f>
        <v/>
      </c>
      <c r="N101" s="49">
        <f>IF($A101="","",IF(AND($K101&lt;&gt;"",$L101&lt;&gt;""),$L101,IF($F101="You",0,IF($F101="Wife",$D101,IF($F101="Shared",$D101/2,0)))))</f>
        <v/>
      </c>
    </row>
    <row r="102" ht="15" customHeight="1" s="43">
      <c r="A102" s="50" t="n"/>
      <c r="B102" s="51" t="n"/>
      <c r="C102" s="51" t="n"/>
      <c r="D102" s="52" t="n"/>
      <c r="E102" s="51" t="n"/>
      <c r="F102" s="51" t="n"/>
      <c r="G102" s="51" t="n"/>
      <c r="H102" s="51" t="n"/>
      <c r="I102" s="51">
        <f>IF($A102="","",TEXT($A102,"YYYY-MM"))</f>
        <v/>
      </c>
      <c r="J102" s="51" t="n"/>
      <c r="K102" s="53" t="n"/>
      <c r="L102" s="53" t="n"/>
      <c r="M102" s="54">
        <f>IF($A102="","",IF(AND($K102&lt;&gt;"",$L102&lt;&gt;""),$K102,IF($F102="You",$D102,IF($F102="Wife",0,IF($F102="Shared",$D102/2,0)))))</f>
        <v/>
      </c>
      <c r="N102" s="54">
        <f>IF($A102="","",IF(AND($K102&lt;&gt;"",$L102&lt;&gt;""),$L102,IF($F102="You",0,IF($F102="Wife",$D102,IF($F102="Shared",$D102/2,0)))))</f>
        <v/>
      </c>
    </row>
    <row r="103" ht="15" customHeight="1" s="43">
      <c r="A103" s="45" t="n"/>
      <c r="B103" s="46" t="n"/>
      <c r="C103" s="46" t="n"/>
      <c r="D103" s="47" t="n"/>
      <c r="E103" s="46" t="n"/>
      <c r="F103" s="46" t="n"/>
      <c r="G103" s="46" t="n"/>
      <c r="H103" s="46" t="n"/>
      <c r="I103" s="46">
        <f>IF($A103="","",TEXT($A103,"YYYY-MM"))</f>
        <v/>
      </c>
      <c r="J103" s="46" t="n"/>
      <c r="K103" s="48" t="n"/>
      <c r="L103" s="48" t="n"/>
      <c r="M103" s="49">
        <f>IF($A103="","",IF(AND($K103&lt;&gt;"",$L103&lt;&gt;""),$K103,IF($F103="You",$D103,IF($F103="Wife",0,IF($F103="Shared",$D103/2,0)))))</f>
        <v/>
      </c>
      <c r="N103" s="49">
        <f>IF($A103="","",IF(AND($K103&lt;&gt;"",$L103&lt;&gt;""),$L103,IF($F103="You",0,IF($F103="Wife",$D103,IF($F103="Shared",$D103/2,0)))))</f>
        <v/>
      </c>
    </row>
    <row r="104" ht="15" customHeight="1" s="43">
      <c r="A104" s="50" t="n"/>
      <c r="B104" s="51" t="n"/>
      <c r="C104" s="51" t="n"/>
      <c r="D104" s="52" t="n"/>
      <c r="E104" s="51" t="n"/>
      <c r="F104" s="51" t="n"/>
      <c r="G104" s="51" t="n"/>
      <c r="H104" s="51" t="n"/>
      <c r="I104" s="51">
        <f>IF($A104="","",TEXT($A104,"YYYY-MM"))</f>
        <v/>
      </c>
      <c r="J104" s="51" t="n"/>
      <c r="K104" s="53" t="n"/>
      <c r="L104" s="53" t="n"/>
      <c r="M104" s="54">
        <f>IF($A104="","",IF(AND($K104&lt;&gt;"",$L104&lt;&gt;""),$K104,IF($F104="You",$D104,IF($F104="Wife",0,IF($F104="Shared",$D104/2,0)))))</f>
        <v/>
      </c>
      <c r="N104" s="54">
        <f>IF($A104="","",IF(AND($K104&lt;&gt;"",$L104&lt;&gt;""),$L104,IF($F104="You",0,IF($F104="Wife",$D104,IF($F104="Shared",$D104/2,0)))))</f>
        <v/>
      </c>
    </row>
    <row r="105" ht="15" customHeight="1" s="43">
      <c r="A105" s="45" t="n"/>
      <c r="B105" s="46" t="n"/>
      <c r="C105" s="46" t="n"/>
      <c r="D105" s="47" t="n"/>
      <c r="E105" s="46" t="n"/>
      <c r="F105" s="46" t="n"/>
      <c r="G105" s="46" t="n"/>
      <c r="H105" s="46" t="n"/>
      <c r="I105" s="46">
        <f>IF($A105="","",TEXT($A105,"YYYY-MM"))</f>
        <v/>
      </c>
      <c r="J105" s="46" t="n"/>
      <c r="K105" s="48" t="n"/>
      <c r="L105" s="48" t="n"/>
      <c r="M105" s="49">
        <f>IF($A105="","",IF(AND($K105&lt;&gt;"",$L105&lt;&gt;""),$K105,IF($F105="You",$D105,IF($F105="Wife",0,IF($F105="Shared",$D105/2,0)))))</f>
        <v/>
      </c>
      <c r="N105" s="49">
        <f>IF($A105="","",IF(AND($K105&lt;&gt;"",$L105&lt;&gt;""),$L105,IF($F105="You",0,IF($F105="Wife",$D105,IF($F105="Shared",$D105/2,0)))))</f>
        <v/>
      </c>
    </row>
    <row r="106" ht="15" customHeight="1" s="43">
      <c r="A106" s="50" t="n"/>
      <c r="B106" s="51" t="n"/>
      <c r="C106" s="51" t="n"/>
      <c r="D106" s="52" t="n"/>
      <c r="E106" s="51" t="n"/>
      <c r="F106" s="51" t="n"/>
      <c r="G106" s="51" t="n"/>
      <c r="H106" s="51" t="n"/>
      <c r="I106" s="51">
        <f>IF($A106="","",TEXT($A106,"YYYY-MM"))</f>
        <v/>
      </c>
      <c r="J106" s="51" t="n"/>
      <c r="K106" s="53" t="n"/>
      <c r="L106" s="53" t="n"/>
      <c r="M106" s="54">
        <f>IF($A106="","",IF(AND($K106&lt;&gt;"",$L106&lt;&gt;""),$K106,IF($F106="You",$D106,IF($F106="Wife",0,IF($F106="Shared",$D106/2,0)))))</f>
        <v/>
      </c>
      <c r="N106" s="54">
        <f>IF($A106="","",IF(AND($K106&lt;&gt;"",$L106&lt;&gt;""),$L106,IF($F106="You",0,IF($F106="Wife",$D106,IF($F106="Shared",$D106/2,0)))))</f>
        <v/>
      </c>
    </row>
    <row r="107" ht="15" customHeight="1" s="43">
      <c r="A107" s="45" t="n"/>
      <c r="B107" s="46" t="n"/>
      <c r="C107" s="46" t="n"/>
      <c r="D107" s="47" t="n"/>
      <c r="E107" s="46" t="n"/>
      <c r="F107" s="46" t="n"/>
      <c r="G107" s="46" t="n"/>
      <c r="H107" s="46" t="n"/>
      <c r="I107" s="46">
        <f>IF($A107="","",TEXT($A107,"YYYY-MM"))</f>
        <v/>
      </c>
      <c r="J107" s="46" t="n"/>
      <c r="K107" s="48" t="n"/>
      <c r="L107" s="48" t="n"/>
      <c r="M107" s="49">
        <f>IF($A107="","",IF(AND($K107&lt;&gt;"",$L107&lt;&gt;""),$K107,IF($F107="You",$D107,IF($F107="Wife",0,IF($F107="Shared",$D107/2,0)))))</f>
        <v/>
      </c>
      <c r="N107" s="49">
        <f>IF($A107="","",IF(AND($K107&lt;&gt;"",$L107&lt;&gt;""),$L107,IF($F107="You",0,IF($F107="Wife",$D107,IF($F107="Shared",$D107/2,0)))))</f>
        <v/>
      </c>
    </row>
    <row r="108" ht="15" customHeight="1" s="43">
      <c r="A108" s="50" t="n"/>
      <c r="B108" s="51" t="n"/>
      <c r="C108" s="51" t="n"/>
      <c r="D108" s="52" t="n"/>
      <c r="E108" s="51" t="n"/>
      <c r="F108" s="51" t="n"/>
      <c r="G108" s="51" t="n"/>
      <c r="H108" s="51" t="n"/>
      <c r="I108" s="51">
        <f>IF($A108="","",TEXT($A108,"YYYY-MM"))</f>
        <v/>
      </c>
      <c r="J108" s="51" t="n"/>
      <c r="K108" s="53" t="n"/>
      <c r="L108" s="53" t="n"/>
      <c r="M108" s="54">
        <f>IF($A108="","",IF(AND($K108&lt;&gt;"",$L108&lt;&gt;""),$K108,IF($F108="You",$D108,IF($F108="Wife",0,IF($F108="Shared",$D108/2,0)))))</f>
        <v/>
      </c>
      <c r="N108" s="54">
        <f>IF($A108="","",IF(AND($K108&lt;&gt;"",$L108&lt;&gt;""),$L108,IF($F108="You",0,IF($F108="Wife",$D108,IF($F108="Shared",$D108/2,0)))))</f>
        <v/>
      </c>
    </row>
    <row r="109" ht="15" customHeight="1" s="43">
      <c r="A109" s="45" t="n"/>
      <c r="B109" s="46" t="n"/>
      <c r="C109" s="46" t="n"/>
      <c r="D109" s="47" t="n"/>
      <c r="E109" s="46" t="n"/>
      <c r="F109" s="46" t="n"/>
      <c r="G109" s="46" t="n"/>
      <c r="H109" s="46" t="n"/>
      <c r="I109" s="46">
        <f>IF($A109="","",TEXT($A109,"YYYY-MM"))</f>
        <v/>
      </c>
      <c r="J109" s="46" t="n"/>
      <c r="K109" s="48" t="n"/>
      <c r="L109" s="48" t="n"/>
      <c r="M109" s="49">
        <f>IF($A109="","",IF(AND($K109&lt;&gt;"",$L109&lt;&gt;""),$K109,IF($F109="You",$D109,IF($F109="Wife",0,IF($F109="Shared",$D109/2,0)))))</f>
        <v/>
      </c>
      <c r="N109" s="49">
        <f>IF($A109="","",IF(AND($K109&lt;&gt;"",$L109&lt;&gt;""),$L109,IF($F109="You",0,IF($F109="Wife",$D109,IF($F109="Shared",$D109/2,0)))))</f>
        <v/>
      </c>
    </row>
    <row r="110" ht="15" customHeight="1" s="43">
      <c r="A110" s="50" t="n"/>
      <c r="B110" s="51" t="n"/>
      <c r="C110" s="51" t="n"/>
      <c r="D110" s="52" t="n"/>
      <c r="E110" s="51" t="n"/>
      <c r="F110" s="51" t="n"/>
      <c r="G110" s="51" t="n"/>
      <c r="H110" s="51" t="n"/>
      <c r="I110" s="51">
        <f>IF($A110="","",TEXT($A110,"YYYY-MM"))</f>
        <v/>
      </c>
      <c r="J110" s="51" t="n"/>
      <c r="K110" s="53" t="n"/>
      <c r="L110" s="53" t="n"/>
      <c r="M110" s="54">
        <f>IF($A110="","",IF(AND($K110&lt;&gt;"",$L110&lt;&gt;""),$K110,IF($F110="You",$D110,IF($F110="Wife",0,IF($F110="Shared",$D110/2,0)))))</f>
        <v/>
      </c>
      <c r="N110" s="54">
        <f>IF($A110="","",IF(AND($K110&lt;&gt;"",$L110&lt;&gt;""),$L110,IF($F110="You",0,IF($F110="Wife",$D110,IF($F110="Shared",$D110/2,0)))))</f>
        <v/>
      </c>
    </row>
    <row r="111" ht="15" customHeight="1" s="43">
      <c r="A111" s="45" t="n"/>
      <c r="B111" s="46" t="n"/>
      <c r="C111" s="46" t="n"/>
      <c r="D111" s="47" t="n"/>
      <c r="E111" s="46" t="n"/>
      <c r="F111" s="46" t="n"/>
      <c r="G111" s="46" t="n"/>
      <c r="H111" s="46" t="n"/>
      <c r="I111" s="46">
        <f>IF($A111="","",TEXT($A111,"YYYY-MM"))</f>
        <v/>
      </c>
      <c r="J111" s="46" t="n"/>
      <c r="K111" s="48" t="n"/>
      <c r="L111" s="48" t="n"/>
      <c r="M111" s="49">
        <f>IF($A111="","",IF(AND($K111&lt;&gt;"",$L111&lt;&gt;""),$K111,IF($F111="You",$D111,IF($F111="Wife",0,IF($F111="Shared",$D111/2,0)))))</f>
        <v/>
      </c>
      <c r="N111" s="49">
        <f>IF($A111="","",IF(AND($K111&lt;&gt;"",$L111&lt;&gt;""),$L111,IF($F111="You",0,IF($F111="Wife",$D111,IF($F111="Shared",$D111/2,0)))))</f>
        <v/>
      </c>
    </row>
    <row r="112" ht="15" customHeight="1" s="43">
      <c r="A112" s="50" t="n"/>
      <c r="B112" s="51" t="n"/>
      <c r="C112" s="51" t="n"/>
      <c r="D112" s="52" t="n"/>
      <c r="E112" s="51" t="n"/>
      <c r="F112" s="51" t="n"/>
      <c r="G112" s="51" t="n"/>
      <c r="H112" s="51" t="n"/>
      <c r="I112" s="51">
        <f>IF($A112="","",TEXT($A112,"YYYY-MM"))</f>
        <v/>
      </c>
      <c r="J112" s="51" t="n"/>
      <c r="K112" s="53" t="n"/>
      <c r="L112" s="53" t="n"/>
      <c r="M112" s="54">
        <f>IF($A112="","",IF(AND($K112&lt;&gt;"",$L112&lt;&gt;""),$K112,IF($F112="You",$D112,IF($F112="Wife",0,IF($F112="Shared",$D112/2,0)))))</f>
        <v/>
      </c>
      <c r="N112" s="54">
        <f>IF($A112="","",IF(AND($K112&lt;&gt;"",$L112&lt;&gt;""),$L112,IF($F112="You",0,IF($F112="Wife",$D112,IF($F112="Shared",$D112/2,0)))))</f>
        <v/>
      </c>
    </row>
    <row r="113" ht="15" customHeight="1" s="43">
      <c r="A113" s="45" t="n"/>
      <c r="B113" s="46" t="n"/>
      <c r="C113" s="46" t="n"/>
      <c r="D113" s="47" t="n"/>
      <c r="E113" s="46" t="n"/>
      <c r="F113" s="46" t="n"/>
      <c r="G113" s="46" t="n"/>
      <c r="H113" s="46" t="n"/>
      <c r="I113" s="46">
        <f>IF($A113="","",TEXT($A113,"YYYY-MM"))</f>
        <v/>
      </c>
      <c r="J113" s="46" t="n"/>
      <c r="K113" s="48" t="n"/>
      <c r="L113" s="48" t="n"/>
      <c r="M113" s="49">
        <f>IF($A113="","",IF(AND($K113&lt;&gt;"",$L113&lt;&gt;""),$K113,IF($F113="You",$D113,IF($F113="Wife",0,IF($F113="Shared",$D113/2,0)))))</f>
        <v/>
      </c>
      <c r="N113" s="49">
        <f>IF($A113="","",IF(AND($K113&lt;&gt;"",$L113&lt;&gt;""),$L113,IF($F113="You",0,IF($F113="Wife",$D113,IF($F113="Shared",$D113/2,0)))))</f>
        <v/>
      </c>
    </row>
    <row r="114" ht="15" customHeight="1" s="43">
      <c r="A114" s="50" t="n"/>
      <c r="B114" s="51" t="n"/>
      <c r="C114" s="51" t="n"/>
      <c r="D114" s="52" t="n"/>
      <c r="E114" s="51" t="n"/>
      <c r="F114" s="51" t="n"/>
      <c r="G114" s="51" t="n"/>
      <c r="H114" s="51" t="n"/>
      <c r="I114" s="51">
        <f>IF($A114="","",TEXT($A114,"YYYY-MM"))</f>
        <v/>
      </c>
      <c r="J114" s="51" t="n"/>
      <c r="K114" s="53" t="n"/>
      <c r="L114" s="53" t="n"/>
      <c r="M114" s="54">
        <f>IF($A114="","",IF(AND($K114&lt;&gt;"",$L114&lt;&gt;""),$K114,IF($F114="You",$D114,IF($F114="Wife",0,IF($F114="Shared",$D114/2,0)))))</f>
        <v/>
      </c>
      <c r="N114" s="54">
        <f>IF($A114="","",IF(AND($K114&lt;&gt;"",$L114&lt;&gt;""),$L114,IF($F114="You",0,IF($F114="Wife",$D114,IF($F114="Shared",$D114/2,0)))))</f>
        <v/>
      </c>
    </row>
    <row r="115" ht="15" customHeight="1" s="43">
      <c r="A115" s="45" t="n"/>
      <c r="B115" s="46" t="n"/>
      <c r="C115" s="46" t="n"/>
      <c r="D115" s="47" t="n"/>
      <c r="E115" s="46" t="n"/>
      <c r="F115" s="46" t="n"/>
      <c r="G115" s="46" t="n"/>
      <c r="H115" s="46" t="n"/>
      <c r="I115" s="46">
        <f>IF($A115="","",TEXT($A115,"YYYY-MM"))</f>
        <v/>
      </c>
      <c r="J115" s="46" t="n"/>
      <c r="K115" s="48" t="n"/>
      <c r="L115" s="48" t="n"/>
      <c r="M115" s="49">
        <f>IF($A115="","",IF(AND($K115&lt;&gt;"",$L115&lt;&gt;""),$K115,IF($F115="You",$D115,IF($F115="Wife",0,IF($F115="Shared",$D115/2,0)))))</f>
        <v/>
      </c>
      <c r="N115" s="49">
        <f>IF($A115="","",IF(AND($K115&lt;&gt;"",$L115&lt;&gt;""),$L115,IF($F115="You",0,IF($F115="Wife",$D115,IF($F115="Shared",$D115/2,0)))))</f>
        <v/>
      </c>
    </row>
    <row r="116" ht="15" customHeight="1" s="43">
      <c r="A116" s="50" t="n"/>
      <c r="B116" s="51" t="n"/>
      <c r="C116" s="51" t="n"/>
      <c r="D116" s="52" t="n"/>
      <c r="E116" s="51" t="n"/>
      <c r="F116" s="51" t="n"/>
      <c r="G116" s="51" t="n"/>
      <c r="H116" s="51" t="n"/>
      <c r="I116" s="51">
        <f>IF($A116="","",TEXT($A116,"YYYY-MM"))</f>
        <v/>
      </c>
      <c r="J116" s="51" t="n"/>
      <c r="K116" s="53" t="n"/>
      <c r="L116" s="53" t="n"/>
      <c r="M116" s="54">
        <f>IF($A116="","",IF(AND($K116&lt;&gt;"",$L116&lt;&gt;""),$K116,IF($F116="You",$D116,IF($F116="Wife",0,IF($F116="Shared",$D116/2,0)))))</f>
        <v/>
      </c>
      <c r="N116" s="54">
        <f>IF($A116="","",IF(AND($K116&lt;&gt;"",$L116&lt;&gt;""),$L116,IF($F116="You",0,IF($F116="Wife",$D116,IF($F116="Shared",$D116/2,0)))))</f>
        <v/>
      </c>
    </row>
    <row r="117" ht="15" customHeight="1" s="43">
      <c r="A117" s="45" t="n"/>
      <c r="B117" s="46" t="n"/>
      <c r="C117" s="46" t="n"/>
      <c r="D117" s="47" t="n"/>
      <c r="E117" s="46" t="n"/>
      <c r="F117" s="46" t="n"/>
      <c r="G117" s="46" t="n"/>
      <c r="H117" s="46" t="n"/>
      <c r="I117" s="46">
        <f>IF($A117="","",TEXT($A117,"YYYY-MM"))</f>
        <v/>
      </c>
      <c r="J117" s="46" t="n"/>
      <c r="K117" s="48" t="n"/>
      <c r="L117" s="48" t="n"/>
      <c r="M117" s="49">
        <f>IF($A117="","",IF(AND($K117&lt;&gt;"",$L117&lt;&gt;""),$K117,IF($F117="You",$D117,IF($F117="Wife",0,IF($F117="Shared",$D117/2,0)))))</f>
        <v/>
      </c>
      <c r="N117" s="49">
        <f>IF($A117="","",IF(AND($K117&lt;&gt;"",$L117&lt;&gt;""),$L117,IF($F117="You",0,IF($F117="Wife",$D117,IF($F117="Shared",$D117/2,0)))))</f>
        <v/>
      </c>
    </row>
    <row r="118" ht="15" customHeight="1" s="43">
      <c r="A118" s="50" t="n"/>
      <c r="B118" s="51" t="n"/>
      <c r="C118" s="51" t="n"/>
      <c r="D118" s="52" t="n"/>
      <c r="E118" s="51" t="n"/>
      <c r="F118" s="51" t="n"/>
      <c r="G118" s="51" t="n"/>
      <c r="H118" s="51" t="n"/>
      <c r="I118" s="51">
        <f>IF($A118="","",TEXT($A118,"YYYY-MM"))</f>
        <v/>
      </c>
      <c r="J118" s="51" t="n"/>
      <c r="K118" s="53" t="n"/>
      <c r="L118" s="53" t="n"/>
      <c r="M118" s="54">
        <f>IF($A118="","",IF(AND($K118&lt;&gt;"",$L118&lt;&gt;""),$K118,IF($F118="You",$D118,IF($F118="Wife",0,IF($F118="Shared",$D118/2,0)))))</f>
        <v/>
      </c>
      <c r="N118" s="54">
        <f>IF($A118="","",IF(AND($K118&lt;&gt;"",$L118&lt;&gt;""),$L118,IF($F118="You",0,IF($F118="Wife",$D118,IF($F118="Shared",$D118/2,0)))))</f>
        <v/>
      </c>
    </row>
    <row r="119" ht="15" customHeight="1" s="43">
      <c r="A119" s="45" t="n"/>
      <c r="B119" s="46" t="n"/>
      <c r="C119" s="46" t="n"/>
      <c r="D119" s="47" t="n"/>
      <c r="E119" s="46" t="n"/>
      <c r="F119" s="46" t="n"/>
      <c r="G119" s="46" t="n"/>
      <c r="H119" s="46" t="n"/>
      <c r="I119" s="46">
        <f>IF($A119="","",TEXT($A119,"YYYY-MM"))</f>
        <v/>
      </c>
      <c r="J119" s="46" t="n"/>
      <c r="K119" s="48" t="n"/>
      <c r="L119" s="48" t="n"/>
      <c r="M119" s="49">
        <f>IF($A119="","",IF(AND($K119&lt;&gt;"",$L119&lt;&gt;""),$K119,IF($F119="You",$D119,IF($F119="Wife",0,IF($F119="Shared",$D119/2,0)))))</f>
        <v/>
      </c>
      <c r="N119" s="49">
        <f>IF($A119="","",IF(AND($K119&lt;&gt;"",$L119&lt;&gt;""),$L119,IF($F119="You",0,IF($F119="Wife",$D119,IF($F119="Shared",$D119/2,0)))))</f>
        <v/>
      </c>
    </row>
    <row r="120" ht="15" customHeight="1" s="43">
      <c r="A120" s="50" t="n"/>
      <c r="B120" s="51" t="n"/>
      <c r="C120" s="51" t="n"/>
      <c r="D120" s="52" t="n"/>
      <c r="E120" s="51" t="n"/>
      <c r="F120" s="51" t="n"/>
      <c r="G120" s="51" t="n"/>
      <c r="H120" s="51" t="n"/>
      <c r="I120" s="51">
        <f>IF($A120="","",TEXT($A120,"YYYY-MM"))</f>
        <v/>
      </c>
      <c r="J120" s="51" t="n"/>
      <c r="K120" s="53" t="n"/>
      <c r="L120" s="53" t="n"/>
      <c r="M120" s="54">
        <f>IF($A120="","",IF(AND($K120&lt;&gt;"",$L120&lt;&gt;""),$K120,IF($F120="You",$D120,IF($F120="Wife",0,IF($F120="Shared",$D120/2,0)))))</f>
        <v/>
      </c>
      <c r="N120" s="54">
        <f>IF($A120="","",IF(AND($K120&lt;&gt;"",$L120&lt;&gt;""),$L120,IF($F120="You",0,IF($F120="Wife",$D120,IF($F120="Shared",$D120/2,0)))))</f>
        <v/>
      </c>
    </row>
    <row r="121" ht="15" customHeight="1" s="43">
      <c r="A121" s="45" t="n"/>
      <c r="B121" s="46" t="n"/>
      <c r="C121" s="46" t="n"/>
      <c r="D121" s="47" t="n"/>
      <c r="E121" s="46" t="n"/>
      <c r="F121" s="46" t="n"/>
      <c r="G121" s="46" t="n"/>
      <c r="H121" s="46" t="n"/>
      <c r="I121" s="46">
        <f>IF($A121="","",TEXT($A121,"YYYY-MM"))</f>
        <v/>
      </c>
      <c r="J121" s="46" t="n"/>
      <c r="K121" s="48" t="n"/>
      <c r="L121" s="48" t="n"/>
      <c r="M121" s="49">
        <f>IF($A121="","",IF(AND($K121&lt;&gt;"",$L121&lt;&gt;""),$K121,IF($F121="You",$D121,IF($F121="Wife",0,IF($F121="Shared",$D121/2,0)))))</f>
        <v/>
      </c>
      <c r="N121" s="49">
        <f>IF($A121="","",IF(AND($K121&lt;&gt;"",$L121&lt;&gt;""),$L121,IF($F121="You",0,IF($F121="Wife",$D121,IF($F121="Shared",$D121/2,0)))))</f>
        <v/>
      </c>
    </row>
    <row r="122" ht="15" customHeight="1" s="43">
      <c r="A122" s="50" t="n"/>
      <c r="B122" s="51" t="n"/>
      <c r="C122" s="51" t="n"/>
      <c r="D122" s="52" t="n"/>
      <c r="E122" s="51" t="n"/>
      <c r="F122" s="51" t="n"/>
      <c r="G122" s="51" t="n"/>
      <c r="H122" s="51" t="n"/>
      <c r="I122" s="51">
        <f>IF($A122="","",TEXT($A122,"YYYY-MM"))</f>
        <v/>
      </c>
      <c r="J122" s="51" t="n"/>
      <c r="K122" s="53" t="n"/>
      <c r="L122" s="53" t="n"/>
      <c r="M122" s="54">
        <f>IF($A122="","",IF(AND($K122&lt;&gt;"",$L122&lt;&gt;""),$K122,IF($F122="You",$D122,IF($F122="Wife",0,IF($F122="Shared",$D122/2,0)))))</f>
        <v/>
      </c>
      <c r="N122" s="54">
        <f>IF($A122="","",IF(AND($K122&lt;&gt;"",$L122&lt;&gt;""),$L122,IF($F122="You",0,IF($F122="Wife",$D122,IF($F122="Shared",$D122/2,0)))))</f>
        <v/>
      </c>
    </row>
    <row r="123" ht="15" customHeight="1" s="43">
      <c r="A123" s="45" t="n"/>
      <c r="B123" s="46" t="n"/>
      <c r="C123" s="46" t="n"/>
      <c r="D123" s="47" t="n"/>
      <c r="E123" s="46" t="n"/>
      <c r="F123" s="46" t="n"/>
      <c r="G123" s="46" t="n"/>
      <c r="H123" s="46" t="n"/>
      <c r="I123" s="46">
        <f>IF($A123="","",TEXT($A123,"YYYY-MM"))</f>
        <v/>
      </c>
      <c r="J123" s="46" t="n"/>
      <c r="K123" s="48" t="n"/>
      <c r="L123" s="48" t="n"/>
      <c r="M123" s="49">
        <f>IF($A123="","",IF(AND($K123&lt;&gt;"",$L123&lt;&gt;""),$K123,IF($F123="You",$D123,IF($F123="Wife",0,IF($F123="Shared",$D123/2,0)))))</f>
        <v/>
      </c>
      <c r="N123" s="49">
        <f>IF($A123="","",IF(AND($K123&lt;&gt;"",$L123&lt;&gt;""),$L123,IF($F123="You",0,IF($F123="Wife",$D123,IF($F123="Shared",$D123/2,0)))))</f>
        <v/>
      </c>
    </row>
    <row r="124" ht="15" customHeight="1" s="43">
      <c r="A124" s="50" t="n"/>
      <c r="B124" s="51" t="n"/>
      <c r="C124" s="51" t="n"/>
      <c r="D124" s="52" t="n"/>
      <c r="E124" s="51" t="n"/>
      <c r="F124" s="51" t="n"/>
      <c r="G124" s="51" t="n"/>
      <c r="H124" s="51" t="n"/>
      <c r="I124" s="51">
        <f>IF($A124="","",TEXT($A124,"YYYY-MM"))</f>
        <v/>
      </c>
      <c r="J124" s="51" t="n"/>
      <c r="K124" s="53" t="n"/>
      <c r="L124" s="53" t="n"/>
      <c r="M124" s="54">
        <f>IF($A124="","",IF(AND($K124&lt;&gt;"",$L124&lt;&gt;""),$K124,IF($F124="You",$D124,IF($F124="Wife",0,IF($F124="Shared",$D124/2,0)))))</f>
        <v/>
      </c>
      <c r="N124" s="54">
        <f>IF($A124="","",IF(AND($K124&lt;&gt;"",$L124&lt;&gt;""),$L124,IF($F124="You",0,IF($F124="Wife",$D124,IF($F124="Shared",$D124/2,0)))))</f>
        <v/>
      </c>
    </row>
    <row r="125" ht="15" customHeight="1" s="43">
      <c r="A125" s="45" t="n"/>
      <c r="B125" s="46" t="n"/>
      <c r="C125" s="46" t="n"/>
      <c r="D125" s="47" t="n"/>
      <c r="E125" s="46" t="n"/>
      <c r="F125" s="46" t="n"/>
      <c r="G125" s="46" t="n"/>
      <c r="H125" s="46" t="n"/>
      <c r="I125" s="46">
        <f>IF($A125="","",TEXT($A125,"YYYY-MM"))</f>
        <v/>
      </c>
      <c r="J125" s="46" t="n"/>
      <c r="K125" s="48" t="n"/>
      <c r="L125" s="48" t="n"/>
      <c r="M125" s="49">
        <f>IF($A125="","",IF(AND($K125&lt;&gt;"",$L125&lt;&gt;""),$K125,IF($F125="You",$D125,IF($F125="Wife",0,IF($F125="Shared",$D125/2,0)))))</f>
        <v/>
      </c>
      <c r="N125" s="49">
        <f>IF($A125="","",IF(AND($K125&lt;&gt;"",$L125&lt;&gt;""),$L125,IF($F125="You",0,IF($F125="Wife",$D125,IF($F125="Shared",$D125/2,0)))))</f>
        <v/>
      </c>
    </row>
    <row r="126" ht="15" customHeight="1" s="43">
      <c r="A126" s="50" t="n"/>
      <c r="B126" s="51" t="n"/>
      <c r="C126" s="51" t="n"/>
      <c r="D126" s="52" t="n"/>
      <c r="E126" s="51" t="n"/>
      <c r="F126" s="51" t="n"/>
      <c r="G126" s="51" t="n"/>
      <c r="H126" s="51" t="n"/>
      <c r="I126" s="51">
        <f>IF($A126="","",TEXT($A126,"YYYY-MM"))</f>
        <v/>
      </c>
      <c r="J126" s="51" t="n"/>
      <c r="K126" s="53" t="n"/>
      <c r="L126" s="53" t="n"/>
      <c r="M126" s="54">
        <f>IF($A126="","",IF(AND($K126&lt;&gt;"",$L126&lt;&gt;""),$K126,IF($F126="You",$D126,IF($F126="Wife",0,IF($F126="Shared",$D126/2,0)))))</f>
        <v/>
      </c>
      <c r="N126" s="54">
        <f>IF($A126="","",IF(AND($K126&lt;&gt;"",$L126&lt;&gt;""),$L126,IF($F126="You",0,IF($F126="Wife",$D126,IF($F126="Shared",$D126/2,0)))))</f>
        <v/>
      </c>
    </row>
    <row r="127" ht="15" customHeight="1" s="43">
      <c r="A127" s="45" t="n"/>
      <c r="B127" s="46" t="n"/>
      <c r="C127" s="46" t="n"/>
      <c r="D127" s="47" t="n"/>
      <c r="E127" s="46" t="n"/>
      <c r="F127" s="46" t="n"/>
      <c r="G127" s="46" t="n"/>
      <c r="H127" s="46" t="n"/>
      <c r="I127" s="46">
        <f>IF($A127="","",TEXT($A127,"YYYY-MM"))</f>
        <v/>
      </c>
      <c r="J127" s="46" t="n"/>
      <c r="K127" s="48" t="n"/>
      <c r="L127" s="48" t="n"/>
      <c r="M127" s="49">
        <f>IF($A127="","",IF(AND($K127&lt;&gt;"",$L127&lt;&gt;""),$K127,IF($F127="You",$D127,IF($F127="Wife",0,IF($F127="Shared",$D127/2,0)))))</f>
        <v/>
      </c>
      <c r="N127" s="49">
        <f>IF($A127="","",IF(AND($K127&lt;&gt;"",$L127&lt;&gt;""),$L127,IF($F127="You",0,IF($F127="Wife",$D127,IF($F127="Shared",$D127/2,0)))))</f>
        <v/>
      </c>
    </row>
    <row r="128" ht="15" customHeight="1" s="43">
      <c r="A128" s="50" t="n"/>
      <c r="B128" s="51" t="n"/>
      <c r="C128" s="51" t="n"/>
      <c r="D128" s="52" t="n"/>
      <c r="E128" s="51" t="n"/>
      <c r="F128" s="51" t="n"/>
      <c r="G128" s="51" t="n"/>
      <c r="H128" s="51" t="n"/>
      <c r="I128" s="51">
        <f>IF($A128="","",TEXT($A128,"YYYY-MM"))</f>
        <v/>
      </c>
      <c r="J128" s="51" t="n"/>
      <c r="K128" s="53" t="n"/>
      <c r="L128" s="53" t="n"/>
      <c r="M128" s="54">
        <f>IF($A128="","",IF(AND($K128&lt;&gt;"",$L128&lt;&gt;""),$K128,IF($F128="You",$D128,IF($F128="Wife",0,IF($F128="Shared",$D128/2,0)))))</f>
        <v/>
      </c>
      <c r="N128" s="54">
        <f>IF($A128="","",IF(AND($K128&lt;&gt;"",$L128&lt;&gt;""),$L128,IF($F128="You",0,IF($F128="Wife",$D128,IF($F128="Shared",$D128/2,0)))))</f>
        <v/>
      </c>
    </row>
    <row r="129" ht="15" customHeight="1" s="43">
      <c r="A129" s="45" t="n"/>
      <c r="B129" s="46" t="n"/>
      <c r="C129" s="46" t="n"/>
      <c r="D129" s="47" t="n"/>
      <c r="E129" s="46" t="n"/>
      <c r="F129" s="46" t="n"/>
      <c r="G129" s="46" t="n"/>
      <c r="H129" s="46" t="n"/>
      <c r="I129" s="46">
        <f>IF($A129="","",TEXT($A129,"YYYY-MM"))</f>
        <v/>
      </c>
      <c r="J129" s="46" t="n"/>
      <c r="K129" s="48" t="n"/>
      <c r="L129" s="48" t="n"/>
      <c r="M129" s="49">
        <f>IF($A129="","",IF(AND($K129&lt;&gt;"",$L129&lt;&gt;""),$K129,IF($F129="You",$D129,IF($F129="Wife",0,IF($F129="Shared",$D129/2,0)))))</f>
        <v/>
      </c>
      <c r="N129" s="49">
        <f>IF($A129="","",IF(AND($K129&lt;&gt;"",$L129&lt;&gt;""),$L129,IF($F129="You",0,IF($F129="Wife",$D129,IF($F129="Shared",$D129/2,0)))))</f>
        <v/>
      </c>
    </row>
    <row r="130" ht="15" customHeight="1" s="43">
      <c r="A130" s="50" t="n"/>
      <c r="B130" s="51" t="n"/>
      <c r="C130" s="51" t="n"/>
      <c r="D130" s="52" t="n"/>
      <c r="E130" s="51" t="n"/>
      <c r="F130" s="51" t="n"/>
      <c r="G130" s="51" t="n"/>
      <c r="H130" s="51" t="n"/>
      <c r="I130" s="51">
        <f>IF($A130="","",TEXT($A130,"YYYY-MM"))</f>
        <v/>
      </c>
      <c r="J130" s="51" t="n"/>
      <c r="K130" s="53" t="n"/>
      <c r="L130" s="53" t="n"/>
      <c r="M130" s="54">
        <f>IF($A130="","",IF(AND($K130&lt;&gt;"",$L130&lt;&gt;""),$K130,IF($F130="You",$D130,IF($F130="Wife",0,IF($F130="Shared",$D130/2,0)))))</f>
        <v/>
      </c>
      <c r="N130" s="54">
        <f>IF($A130="","",IF(AND($K130&lt;&gt;"",$L130&lt;&gt;""),$L130,IF($F130="You",0,IF($F130="Wife",$D130,IF($F130="Shared",$D130/2,0)))))</f>
        <v/>
      </c>
    </row>
    <row r="131" ht="15" customHeight="1" s="43">
      <c r="A131" s="45" t="n"/>
      <c r="B131" s="46" t="n"/>
      <c r="C131" s="46" t="n"/>
      <c r="D131" s="47" t="n"/>
      <c r="E131" s="46" t="n"/>
      <c r="F131" s="46" t="n"/>
      <c r="G131" s="46" t="n"/>
      <c r="H131" s="46" t="n"/>
      <c r="I131" s="46">
        <f>IF($A131="","",TEXT($A131,"YYYY-MM"))</f>
        <v/>
      </c>
      <c r="J131" s="46" t="n"/>
      <c r="K131" s="48" t="n"/>
      <c r="L131" s="48" t="n"/>
      <c r="M131" s="49">
        <f>IF($A131="","",IF(AND($K131&lt;&gt;"",$L131&lt;&gt;""),$K131,IF($F131="You",$D131,IF($F131="Wife",0,IF($F131="Shared",$D131/2,0)))))</f>
        <v/>
      </c>
      <c r="N131" s="49">
        <f>IF($A131="","",IF(AND($K131&lt;&gt;"",$L131&lt;&gt;""),$L131,IF($F131="You",0,IF($F131="Wife",$D131,IF($F131="Shared",$D131/2,0)))))</f>
        <v/>
      </c>
    </row>
    <row r="132" ht="15" customHeight="1" s="43">
      <c r="A132" s="50" t="n"/>
      <c r="B132" s="51" t="n"/>
      <c r="C132" s="51" t="n"/>
      <c r="D132" s="52" t="n"/>
      <c r="E132" s="51" t="n"/>
      <c r="F132" s="51" t="n"/>
      <c r="G132" s="51" t="n"/>
      <c r="H132" s="51" t="n"/>
      <c r="I132" s="51">
        <f>IF($A132="","",TEXT($A132,"YYYY-MM"))</f>
        <v/>
      </c>
      <c r="J132" s="51" t="n"/>
      <c r="K132" s="53" t="n"/>
      <c r="L132" s="53" t="n"/>
      <c r="M132" s="54">
        <f>IF($A132="","",IF(AND($K132&lt;&gt;"",$L132&lt;&gt;""),$K132,IF($F132="You",$D132,IF($F132="Wife",0,IF($F132="Shared",$D132/2,0)))))</f>
        <v/>
      </c>
      <c r="N132" s="54">
        <f>IF($A132="","",IF(AND($K132&lt;&gt;"",$L132&lt;&gt;""),$L132,IF($F132="You",0,IF($F132="Wife",$D132,IF($F132="Shared",$D132/2,0)))))</f>
        <v/>
      </c>
    </row>
    <row r="133" ht="15" customHeight="1" s="43">
      <c r="A133" s="45" t="n"/>
      <c r="B133" s="46" t="n"/>
      <c r="C133" s="46" t="n"/>
      <c r="D133" s="47" t="n"/>
      <c r="E133" s="46" t="n"/>
      <c r="F133" s="46" t="n"/>
      <c r="G133" s="46" t="n"/>
      <c r="H133" s="46" t="n"/>
      <c r="I133" s="46">
        <f>IF($A133="","",TEXT($A133,"YYYY-MM"))</f>
        <v/>
      </c>
      <c r="J133" s="46" t="n"/>
      <c r="K133" s="48" t="n"/>
      <c r="L133" s="48" t="n"/>
      <c r="M133" s="49">
        <f>IF($A133="","",IF(AND($K133&lt;&gt;"",$L133&lt;&gt;""),$K133,IF($F133="You",$D133,IF($F133="Wife",0,IF($F133="Shared",$D133/2,0)))))</f>
        <v/>
      </c>
      <c r="N133" s="49">
        <f>IF($A133="","",IF(AND($K133&lt;&gt;"",$L133&lt;&gt;""),$L133,IF($F133="You",0,IF($F133="Wife",$D133,IF($F133="Shared",$D133/2,0)))))</f>
        <v/>
      </c>
    </row>
    <row r="134" ht="15" customHeight="1" s="43">
      <c r="A134" s="50" t="n"/>
      <c r="B134" s="51" t="n"/>
      <c r="C134" s="51" t="n"/>
      <c r="D134" s="52" t="n"/>
      <c r="E134" s="51" t="n"/>
      <c r="F134" s="51" t="n"/>
      <c r="G134" s="51" t="n"/>
      <c r="H134" s="51" t="n"/>
      <c r="I134" s="51">
        <f>IF($A134="","",TEXT($A134,"YYYY-MM"))</f>
        <v/>
      </c>
      <c r="J134" s="51" t="n"/>
      <c r="K134" s="53" t="n"/>
      <c r="L134" s="53" t="n"/>
      <c r="M134" s="54">
        <f>IF($A134="","",IF(AND($K134&lt;&gt;"",$L134&lt;&gt;""),$K134,IF($F134="You",$D134,IF($F134="Wife",0,IF($F134="Shared",$D134/2,0)))))</f>
        <v/>
      </c>
      <c r="N134" s="54">
        <f>IF($A134="","",IF(AND($K134&lt;&gt;"",$L134&lt;&gt;""),$L134,IF($F134="You",0,IF($F134="Wife",$D134,IF($F134="Shared",$D134/2,0)))))</f>
        <v/>
      </c>
    </row>
    <row r="135" ht="15" customHeight="1" s="43">
      <c r="A135" s="45" t="n"/>
      <c r="B135" s="46" t="n"/>
      <c r="C135" s="46" t="n"/>
      <c r="D135" s="47" t="n"/>
      <c r="E135" s="46" t="n"/>
      <c r="F135" s="46" t="n"/>
      <c r="G135" s="46" t="n"/>
      <c r="H135" s="46" t="n"/>
      <c r="I135" s="46">
        <f>IF($A135="","",TEXT($A135,"YYYY-MM"))</f>
        <v/>
      </c>
      <c r="J135" s="46" t="n"/>
      <c r="K135" s="48" t="n"/>
      <c r="L135" s="48" t="n"/>
      <c r="M135" s="49">
        <f>IF($A135="","",IF(AND($K135&lt;&gt;"",$L135&lt;&gt;""),$K135,IF($F135="You",$D135,IF($F135="Wife",0,IF($F135="Shared",$D135/2,0)))))</f>
        <v/>
      </c>
      <c r="N135" s="49">
        <f>IF($A135="","",IF(AND($K135&lt;&gt;"",$L135&lt;&gt;""),$L135,IF($F135="You",0,IF($F135="Wife",$D135,IF($F135="Shared",$D135/2,0)))))</f>
        <v/>
      </c>
    </row>
    <row r="136" ht="15" customHeight="1" s="43">
      <c r="A136" s="50" t="n"/>
      <c r="B136" s="51" t="n"/>
      <c r="C136" s="51" t="n"/>
      <c r="D136" s="52" t="n"/>
      <c r="E136" s="51" t="n"/>
      <c r="F136" s="51" t="n"/>
      <c r="G136" s="51" t="n"/>
      <c r="H136" s="51" t="n"/>
      <c r="I136" s="51">
        <f>IF($A136="","",TEXT($A136,"YYYY-MM"))</f>
        <v/>
      </c>
      <c r="J136" s="51" t="n"/>
      <c r="K136" s="53" t="n"/>
      <c r="L136" s="53" t="n"/>
      <c r="M136" s="54">
        <f>IF($A136="","",IF(AND($K136&lt;&gt;"",$L136&lt;&gt;""),$K136,IF($F136="You",$D136,IF($F136="Wife",0,IF($F136="Shared",$D136/2,0)))))</f>
        <v/>
      </c>
      <c r="N136" s="54">
        <f>IF($A136="","",IF(AND($K136&lt;&gt;"",$L136&lt;&gt;""),$L136,IF($F136="You",0,IF($F136="Wife",$D136,IF($F136="Shared",$D136/2,0)))))</f>
        <v/>
      </c>
    </row>
    <row r="137" ht="15" customHeight="1" s="43">
      <c r="A137" s="45" t="n"/>
      <c r="B137" s="46" t="n"/>
      <c r="C137" s="46" t="n"/>
      <c r="D137" s="47" t="n"/>
      <c r="E137" s="46" t="n"/>
      <c r="F137" s="46" t="n"/>
      <c r="G137" s="46" t="n"/>
      <c r="H137" s="46" t="n"/>
      <c r="I137" s="46">
        <f>IF($A137="","",TEXT($A137,"YYYY-MM"))</f>
        <v/>
      </c>
      <c r="J137" s="46" t="n"/>
      <c r="K137" s="48" t="n"/>
      <c r="L137" s="48" t="n"/>
      <c r="M137" s="49">
        <f>IF($A137="","",IF(AND($K137&lt;&gt;"",$L137&lt;&gt;""),$K137,IF($F137="You",$D137,IF($F137="Wife",0,IF($F137="Shared",$D137/2,0)))))</f>
        <v/>
      </c>
      <c r="N137" s="49">
        <f>IF($A137="","",IF(AND($K137&lt;&gt;"",$L137&lt;&gt;""),$L137,IF($F137="You",0,IF($F137="Wife",$D137,IF($F137="Shared",$D137/2,0)))))</f>
        <v/>
      </c>
    </row>
    <row r="138" ht="15" customHeight="1" s="43">
      <c r="A138" s="50" t="n"/>
      <c r="B138" s="51" t="n"/>
      <c r="C138" s="51" t="n"/>
      <c r="D138" s="52" t="n"/>
      <c r="E138" s="51" t="n"/>
      <c r="F138" s="51" t="n"/>
      <c r="G138" s="51" t="n"/>
      <c r="H138" s="51" t="n"/>
      <c r="I138" s="51">
        <f>IF($A138="","",TEXT($A138,"YYYY-MM"))</f>
        <v/>
      </c>
      <c r="J138" s="51" t="n"/>
      <c r="K138" s="53" t="n"/>
      <c r="L138" s="53" t="n"/>
      <c r="M138" s="54">
        <f>IF($A138="","",IF(AND($K138&lt;&gt;"",$L138&lt;&gt;""),$K138,IF($F138="You",$D138,IF($F138="Wife",0,IF($F138="Shared",$D138/2,0)))))</f>
        <v/>
      </c>
      <c r="N138" s="54">
        <f>IF($A138="","",IF(AND($K138&lt;&gt;"",$L138&lt;&gt;""),$L138,IF($F138="You",0,IF($F138="Wife",$D138,IF($F138="Shared",$D138/2,0)))))</f>
        <v/>
      </c>
    </row>
    <row r="139" ht="15" customHeight="1" s="43">
      <c r="A139" s="45" t="n"/>
      <c r="B139" s="46" t="n"/>
      <c r="C139" s="46" t="n"/>
      <c r="D139" s="47" t="n"/>
      <c r="E139" s="46" t="n"/>
      <c r="F139" s="46" t="n"/>
      <c r="G139" s="46" t="n"/>
      <c r="H139" s="46" t="n"/>
      <c r="I139" s="46">
        <f>IF($A139="","",TEXT($A139,"YYYY-MM"))</f>
        <v/>
      </c>
      <c r="J139" s="46" t="n"/>
      <c r="K139" s="48" t="n"/>
      <c r="L139" s="48" t="n"/>
      <c r="M139" s="49">
        <f>IF($A139="","",IF(AND($K139&lt;&gt;"",$L139&lt;&gt;""),$K139,IF($F139="You",$D139,IF($F139="Wife",0,IF($F139="Shared",$D139/2,0)))))</f>
        <v/>
      </c>
      <c r="N139" s="49">
        <f>IF($A139="","",IF(AND($K139&lt;&gt;"",$L139&lt;&gt;""),$L139,IF($F139="You",0,IF($F139="Wife",$D139,IF($F139="Shared",$D139/2,0)))))</f>
        <v/>
      </c>
    </row>
    <row r="140" ht="15" customHeight="1" s="43">
      <c r="A140" s="50" t="n"/>
      <c r="B140" s="51" t="n"/>
      <c r="C140" s="51" t="n"/>
      <c r="D140" s="52" t="n"/>
      <c r="E140" s="51" t="n"/>
      <c r="F140" s="51" t="n"/>
      <c r="G140" s="51" t="n"/>
      <c r="H140" s="51" t="n"/>
      <c r="I140" s="51">
        <f>IF($A140="","",TEXT($A140,"YYYY-MM"))</f>
        <v/>
      </c>
      <c r="J140" s="51" t="n"/>
      <c r="K140" s="53" t="n"/>
      <c r="L140" s="53" t="n"/>
      <c r="M140" s="54">
        <f>IF($A140="","",IF(AND($K140&lt;&gt;"",$L140&lt;&gt;""),$K140,IF($F140="You",$D140,IF($F140="Wife",0,IF($F140="Shared",$D140/2,0)))))</f>
        <v/>
      </c>
      <c r="N140" s="54">
        <f>IF($A140="","",IF(AND($K140&lt;&gt;"",$L140&lt;&gt;""),$L140,IF($F140="You",0,IF($F140="Wife",$D140,IF($F140="Shared",$D140/2,0)))))</f>
        <v/>
      </c>
    </row>
    <row r="141" ht="15" customHeight="1" s="43">
      <c r="A141" s="45" t="n"/>
      <c r="B141" s="46" t="n"/>
      <c r="C141" s="46" t="n"/>
      <c r="D141" s="47" t="n"/>
      <c r="E141" s="46" t="n"/>
      <c r="F141" s="46" t="n"/>
      <c r="G141" s="46" t="n"/>
      <c r="H141" s="46" t="n"/>
      <c r="I141" s="46">
        <f>IF($A141="","",TEXT($A141,"YYYY-MM"))</f>
        <v/>
      </c>
      <c r="J141" s="46" t="n"/>
      <c r="K141" s="48" t="n"/>
      <c r="L141" s="48" t="n"/>
      <c r="M141" s="49">
        <f>IF($A141="","",IF(AND($K141&lt;&gt;"",$L141&lt;&gt;""),$K141,IF($F141="You",$D141,IF($F141="Wife",0,IF($F141="Shared",$D141/2,0)))))</f>
        <v/>
      </c>
      <c r="N141" s="49">
        <f>IF($A141="","",IF(AND($K141&lt;&gt;"",$L141&lt;&gt;""),$L141,IF($F141="You",0,IF($F141="Wife",$D141,IF($F141="Shared",$D141/2,0)))))</f>
        <v/>
      </c>
    </row>
    <row r="142" ht="15" customHeight="1" s="43">
      <c r="A142" s="50" t="n"/>
      <c r="B142" s="51" t="n"/>
      <c r="C142" s="51" t="n"/>
      <c r="D142" s="52" t="n"/>
      <c r="E142" s="51" t="n"/>
      <c r="F142" s="51" t="n"/>
      <c r="G142" s="51" t="n"/>
      <c r="H142" s="51" t="n"/>
      <c r="I142" s="51">
        <f>IF($A142="","",TEXT($A142,"YYYY-MM"))</f>
        <v/>
      </c>
      <c r="J142" s="51" t="n"/>
      <c r="K142" s="53" t="n"/>
      <c r="L142" s="53" t="n"/>
      <c r="M142" s="54">
        <f>IF($A142="","",IF(AND($K142&lt;&gt;"",$L142&lt;&gt;""),$K142,IF($F142="You",$D142,IF($F142="Wife",0,IF($F142="Shared",$D142/2,0)))))</f>
        <v/>
      </c>
      <c r="N142" s="54">
        <f>IF($A142="","",IF(AND($K142&lt;&gt;"",$L142&lt;&gt;""),$L142,IF($F142="You",0,IF($F142="Wife",$D142,IF($F142="Shared",$D142/2,0)))))</f>
        <v/>
      </c>
    </row>
    <row r="143" ht="15" customHeight="1" s="43">
      <c r="A143" s="45" t="n"/>
      <c r="B143" s="46" t="n"/>
      <c r="C143" s="46" t="n"/>
      <c r="D143" s="47" t="n"/>
      <c r="E143" s="46" t="n"/>
      <c r="F143" s="46" t="n"/>
      <c r="G143" s="46" t="n"/>
      <c r="H143" s="46" t="n"/>
      <c r="I143" s="46">
        <f>IF($A143="","",TEXT($A143,"YYYY-MM"))</f>
        <v/>
      </c>
      <c r="J143" s="46" t="n"/>
      <c r="K143" s="48" t="n"/>
      <c r="L143" s="48" t="n"/>
      <c r="M143" s="49">
        <f>IF($A143="","",IF(AND($K143&lt;&gt;"",$L143&lt;&gt;""),$K143,IF($F143="You",$D143,IF($F143="Wife",0,IF($F143="Shared",$D143/2,0)))))</f>
        <v/>
      </c>
      <c r="N143" s="49">
        <f>IF($A143="","",IF(AND($K143&lt;&gt;"",$L143&lt;&gt;""),$L143,IF($F143="You",0,IF($F143="Wife",$D143,IF($F143="Shared",$D143/2,0)))))</f>
        <v/>
      </c>
    </row>
    <row r="144" ht="15" customHeight="1" s="43">
      <c r="A144" s="50" t="n"/>
      <c r="B144" s="51" t="n"/>
      <c r="C144" s="51" t="n"/>
      <c r="D144" s="52" t="n"/>
      <c r="E144" s="51" t="n"/>
      <c r="F144" s="51" t="n"/>
      <c r="G144" s="51" t="n"/>
      <c r="H144" s="51" t="n"/>
      <c r="I144" s="51">
        <f>IF($A144="","",TEXT($A144,"YYYY-MM"))</f>
        <v/>
      </c>
      <c r="J144" s="51" t="n"/>
      <c r="K144" s="53" t="n"/>
      <c r="L144" s="53" t="n"/>
      <c r="M144" s="54">
        <f>IF($A144="","",IF(AND($K144&lt;&gt;"",$L144&lt;&gt;""),$K144,IF($F144="You",$D144,IF($F144="Wife",0,IF($F144="Shared",$D144/2,0)))))</f>
        <v/>
      </c>
      <c r="N144" s="54">
        <f>IF($A144="","",IF(AND($K144&lt;&gt;"",$L144&lt;&gt;""),$L144,IF($F144="You",0,IF($F144="Wife",$D144,IF($F144="Shared",$D144/2,0)))))</f>
        <v/>
      </c>
    </row>
    <row r="145" ht="15" customHeight="1" s="43">
      <c r="A145" s="45" t="n"/>
      <c r="B145" s="46" t="n"/>
      <c r="C145" s="46" t="n"/>
      <c r="D145" s="47" t="n"/>
      <c r="E145" s="46" t="n"/>
      <c r="F145" s="46" t="n"/>
      <c r="G145" s="46" t="n"/>
      <c r="H145" s="46" t="n"/>
      <c r="I145" s="46">
        <f>IF($A145="","",TEXT($A145,"YYYY-MM"))</f>
        <v/>
      </c>
      <c r="J145" s="46" t="n"/>
      <c r="K145" s="48" t="n"/>
      <c r="L145" s="48" t="n"/>
      <c r="M145" s="49">
        <f>IF($A145="","",IF(AND($K145&lt;&gt;"",$L145&lt;&gt;""),$K145,IF($F145="You",$D145,IF($F145="Wife",0,IF($F145="Shared",$D145/2,0)))))</f>
        <v/>
      </c>
      <c r="N145" s="49">
        <f>IF($A145="","",IF(AND($K145&lt;&gt;"",$L145&lt;&gt;""),$L145,IF($F145="You",0,IF($F145="Wife",$D145,IF($F145="Shared",$D145/2,0)))))</f>
        <v/>
      </c>
    </row>
    <row r="146" ht="15" customHeight="1" s="43">
      <c r="A146" s="50" t="n"/>
      <c r="B146" s="51" t="n"/>
      <c r="C146" s="51" t="n"/>
      <c r="D146" s="52" t="n"/>
      <c r="E146" s="51" t="n"/>
      <c r="F146" s="51" t="n"/>
      <c r="G146" s="51" t="n"/>
      <c r="H146" s="51" t="n"/>
      <c r="I146" s="51">
        <f>IF($A146="","",TEXT($A146,"YYYY-MM"))</f>
        <v/>
      </c>
      <c r="J146" s="51" t="n"/>
      <c r="K146" s="53" t="n"/>
      <c r="L146" s="53" t="n"/>
      <c r="M146" s="54">
        <f>IF($A146="","",IF(AND($K146&lt;&gt;"",$L146&lt;&gt;""),$K146,IF($F146="You",$D146,IF($F146="Wife",0,IF($F146="Shared",$D146/2,0)))))</f>
        <v/>
      </c>
      <c r="N146" s="54">
        <f>IF($A146="","",IF(AND($K146&lt;&gt;"",$L146&lt;&gt;""),$L146,IF($F146="You",0,IF($F146="Wife",$D146,IF($F146="Shared",$D146/2,0)))))</f>
        <v/>
      </c>
    </row>
    <row r="147" ht="15" customHeight="1" s="43">
      <c r="A147" s="45" t="n"/>
      <c r="B147" s="46" t="n"/>
      <c r="C147" s="46" t="n"/>
      <c r="D147" s="47" t="n"/>
      <c r="E147" s="46" t="n"/>
      <c r="F147" s="46" t="n"/>
      <c r="G147" s="46" t="n"/>
      <c r="H147" s="46" t="n"/>
      <c r="I147" s="46">
        <f>IF($A147="","",TEXT($A147,"YYYY-MM"))</f>
        <v/>
      </c>
      <c r="J147" s="46" t="n"/>
      <c r="K147" s="48" t="n"/>
      <c r="L147" s="48" t="n"/>
      <c r="M147" s="49">
        <f>IF($A147="","",IF(AND($K147&lt;&gt;"",$L147&lt;&gt;""),$K147,IF($F147="You",$D147,IF($F147="Wife",0,IF($F147="Shared",$D147/2,0)))))</f>
        <v/>
      </c>
      <c r="N147" s="49">
        <f>IF($A147="","",IF(AND($K147&lt;&gt;"",$L147&lt;&gt;""),$L147,IF($F147="You",0,IF($F147="Wife",$D147,IF($F147="Shared",$D147/2,0)))))</f>
        <v/>
      </c>
    </row>
    <row r="148" ht="15" customHeight="1" s="43">
      <c r="A148" s="50" t="n"/>
      <c r="B148" s="51" t="n"/>
      <c r="C148" s="51" t="n"/>
      <c r="D148" s="52" t="n"/>
      <c r="E148" s="51" t="n"/>
      <c r="F148" s="51" t="n"/>
      <c r="G148" s="51" t="n"/>
      <c r="H148" s="51" t="n"/>
      <c r="I148" s="51">
        <f>IF($A148="","",TEXT($A148,"YYYY-MM"))</f>
        <v/>
      </c>
      <c r="J148" s="51" t="n"/>
      <c r="K148" s="53" t="n"/>
      <c r="L148" s="53" t="n"/>
      <c r="M148" s="54">
        <f>IF($A148="","",IF(AND($K148&lt;&gt;"",$L148&lt;&gt;""),$K148,IF($F148="You",$D148,IF($F148="Wife",0,IF($F148="Shared",$D148/2,0)))))</f>
        <v/>
      </c>
      <c r="N148" s="54">
        <f>IF($A148="","",IF(AND($K148&lt;&gt;"",$L148&lt;&gt;""),$L148,IF($F148="You",0,IF($F148="Wife",$D148,IF($F148="Shared",$D148/2,0)))))</f>
        <v/>
      </c>
    </row>
    <row r="149" ht="15" customHeight="1" s="43">
      <c r="A149" s="45" t="n"/>
      <c r="B149" s="46" t="n"/>
      <c r="C149" s="46" t="n"/>
      <c r="D149" s="47" t="n"/>
      <c r="E149" s="46" t="n"/>
      <c r="F149" s="46" t="n"/>
      <c r="G149" s="46" t="n"/>
      <c r="H149" s="46" t="n"/>
      <c r="I149" s="46">
        <f>IF($A149="","",TEXT($A149,"YYYY-MM"))</f>
        <v/>
      </c>
      <c r="J149" s="46" t="n"/>
      <c r="K149" s="48" t="n"/>
      <c r="L149" s="48" t="n"/>
      <c r="M149" s="49">
        <f>IF($A149="","",IF(AND($K149&lt;&gt;"",$L149&lt;&gt;""),$K149,IF($F149="You",$D149,IF($F149="Wife",0,IF($F149="Shared",$D149/2,0)))))</f>
        <v/>
      </c>
      <c r="N149" s="49">
        <f>IF($A149="","",IF(AND($K149&lt;&gt;"",$L149&lt;&gt;""),$L149,IF($F149="You",0,IF($F149="Wife",$D149,IF($F149="Shared",$D149/2,0)))))</f>
        <v/>
      </c>
    </row>
    <row r="150" ht="15" customHeight="1" s="43">
      <c r="A150" s="50" t="n"/>
      <c r="B150" s="51" t="n"/>
      <c r="C150" s="51" t="n"/>
      <c r="D150" s="52" t="n"/>
      <c r="E150" s="51" t="n"/>
      <c r="F150" s="51" t="n"/>
      <c r="G150" s="51" t="n"/>
      <c r="H150" s="51" t="n"/>
      <c r="I150" s="51">
        <f>IF($A150="","",TEXT($A150,"YYYY-MM"))</f>
        <v/>
      </c>
      <c r="J150" s="51" t="n"/>
      <c r="K150" s="53" t="n"/>
      <c r="L150" s="53" t="n"/>
      <c r="M150" s="54">
        <f>IF($A150="","",IF(AND($K150&lt;&gt;"",$L150&lt;&gt;""),$K150,IF($F150="You",$D150,IF($F150="Wife",0,IF($F150="Shared",$D150/2,0)))))</f>
        <v/>
      </c>
      <c r="N150" s="54">
        <f>IF($A150="","",IF(AND($K150&lt;&gt;"",$L150&lt;&gt;""),$L150,IF($F150="You",0,IF($F150="Wife",$D150,IF($F150="Shared",$D150/2,0)))))</f>
        <v/>
      </c>
    </row>
    <row r="151" ht="15" customHeight="1" s="43">
      <c r="A151" s="45" t="n"/>
      <c r="B151" s="46" t="n"/>
      <c r="C151" s="46" t="n"/>
      <c r="D151" s="47" t="n"/>
      <c r="E151" s="46" t="n"/>
      <c r="F151" s="46" t="n"/>
      <c r="G151" s="46" t="n"/>
      <c r="H151" s="46" t="n"/>
      <c r="I151" s="46">
        <f>IF($A151="","",TEXT($A151,"YYYY-MM"))</f>
        <v/>
      </c>
      <c r="J151" s="46" t="n"/>
      <c r="K151" s="48" t="n"/>
      <c r="L151" s="48" t="n"/>
      <c r="M151" s="49">
        <f>IF($A151="","",IF(AND($K151&lt;&gt;"",$L151&lt;&gt;""),$K151,IF($F151="You",$D151,IF($F151="Wife",0,IF($F151="Shared",$D151/2,0)))))</f>
        <v/>
      </c>
      <c r="N151" s="49">
        <f>IF($A151="","",IF(AND($K151&lt;&gt;"",$L151&lt;&gt;""),$L151,IF($F151="You",0,IF($F151="Wife",$D151,IF($F151="Shared",$D151/2,0)))))</f>
        <v/>
      </c>
    </row>
    <row r="152" ht="15" customHeight="1" s="43">
      <c r="A152" s="50" t="n"/>
      <c r="B152" s="51" t="n"/>
      <c r="C152" s="51" t="n"/>
      <c r="D152" s="52" t="n"/>
      <c r="E152" s="51" t="n"/>
      <c r="F152" s="51" t="n"/>
      <c r="G152" s="51" t="n"/>
      <c r="H152" s="51" t="n"/>
      <c r="I152" s="51">
        <f>IF($A152="","",TEXT($A152,"YYYY-MM"))</f>
        <v/>
      </c>
      <c r="J152" s="51" t="n"/>
      <c r="K152" s="53" t="n"/>
      <c r="L152" s="53" t="n"/>
      <c r="M152" s="54">
        <f>IF($A152="","",IF(AND($K152&lt;&gt;"",$L152&lt;&gt;""),$K152,IF($F152="You",$D152,IF($F152="Wife",0,IF($F152="Shared",$D152/2,0)))))</f>
        <v/>
      </c>
      <c r="N152" s="54">
        <f>IF($A152="","",IF(AND($K152&lt;&gt;"",$L152&lt;&gt;""),$L152,IF($F152="You",0,IF($F152="Wife",$D152,IF($F152="Shared",$D152/2,0)))))</f>
        <v/>
      </c>
    </row>
    <row r="153" ht="15" customHeight="1" s="43">
      <c r="A153" s="45" t="n"/>
      <c r="B153" s="46" t="n"/>
      <c r="C153" s="46" t="n"/>
      <c r="D153" s="47" t="n"/>
      <c r="E153" s="46" t="n"/>
      <c r="F153" s="46" t="n"/>
      <c r="G153" s="46" t="n"/>
      <c r="H153" s="46" t="n"/>
      <c r="I153" s="46">
        <f>IF($A153="","",TEXT($A153,"YYYY-MM"))</f>
        <v/>
      </c>
      <c r="J153" s="46" t="n"/>
      <c r="K153" s="48" t="n"/>
      <c r="L153" s="48" t="n"/>
      <c r="M153" s="49">
        <f>IF($A153="","",IF(AND($K153&lt;&gt;"",$L153&lt;&gt;""),$K153,IF($F153="You",$D153,IF($F153="Wife",0,IF($F153="Shared",$D153/2,0)))))</f>
        <v/>
      </c>
      <c r="N153" s="49">
        <f>IF($A153="","",IF(AND($K153&lt;&gt;"",$L153&lt;&gt;""),$L153,IF($F153="You",0,IF($F153="Wife",$D153,IF($F153="Shared",$D153/2,0)))))</f>
        <v/>
      </c>
    </row>
    <row r="154" ht="15" customHeight="1" s="43">
      <c r="A154" s="50" t="n"/>
      <c r="B154" s="51" t="n"/>
      <c r="C154" s="51" t="n"/>
      <c r="D154" s="52" t="n"/>
      <c r="E154" s="51" t="n"/>
      <c r="F154" s="51" t="n"/>
      <c r="G154" s="51" t="n"/>
      <c r="H154" s="51" t="n"/>
      <c r="I154" s="51">
        <f>IF($A154="","",TEXT($A154,"YYYY-MM"))</f>
        <v/>
      </c>
      <c r="J154" s="51" t="n"/>
      <c r="K154" s="53" t="n"/>
      <c r="L154" s="53" t="n"/>
      <c r="M154" s="54">
        <f>IF($A154="","",IF(AND($K154&lt;&gt;"",$L154&lt;&gt;""),$K154,IF($F154="You",$D154,IF($F154="Wife",0,IF($F154="Shared",$D154/2,0)))))</f>
        <v/>
      </c>
      <c r="N154" s="54">
        <f>IF($A154="","",IF(AND($K154&lt;&gt;"",$L154&lt;&gt;""),$L154,IF($F154="You",0,IF($F154="Wife",$D154,IF($F154="Shared",$D154/2,0)))))</f>
        <v/>
      </c>
    </row>
    <row r="155" ht="15" customHeight="1" s="43">
      <c r="A155" s="45" t="n"/>
      <c r="B155" s="46" t="n"/>
      <c r="C155" s="46" t="n"/>
      <c r="D155" s="47" t="n"/>
      <c r="E155" s="46" t="n"/>
      <c r="F155" s="46" t="n"/>
      <c r="G155" s="46" t="n"/>
      <c r="H155" s="46" t="n"/>
      <c r="I155" s="46">
        <f>IF($A155="","",TEXT($A155,"YYYY-MM"))</f>
        <v/>
      </c>
      <c r="J155" s="46" t="n"/>
      <c r="K155" s="48" t="n"/>
      <c r="L155" s="48" t="n"/>
      <c r="M155" s="49">
        <f>IF($A155="","",IF(AND($K155&lt;&gt;"",$L155&lt;&gt;""),$K155,IF($F155="You",$D155,IF($F155="Wife",0,IF($F155="Shared",$D155/2,0)))))</f>
        <v/>
      </c>
      <c r="N155" s="49">
        <f>IF($A155="","",IF(AND($K155&lt;&gt;"",$L155&lt;&gt;""),$L155,IF($F155="You",0,IF($F155="Wife",$D155,IF($F155="Shared",$D155/2,0)))))</f>
        <v/>
      </c>
    </row>
    <row r="156" ht="15" customHeight="1" s="43">
      <c r="A156" s="50" t="n"/>
      <c r="B156" s="51" t="n"/>
      <c r="C156" s="51" t="n"/>
      <c r="D156" s="52" t="n"/>
      <c r="E156" s="51" t="n"/>
      <c r="F156" s="51" t="n"/>
      <c r="G156" s="51" t="n"/>
      <c r="H156" s="51" t="n"/>
      <c r="I156" s="51">
        <f>IF($A156="","",TEXT($A156,"YYYY-MM"))</f>
        <v/>
      </c>
      <c r="J156" s="51" t="n"/>
      <c r="K156" s="53" t="n"/>
      <c r="L156" s="53" t="n"/>
      <c r="M156" s="54">
        <f>IF($A156="","",IF(AND($K156&lt;&gt;"",$L156&lt;&gt;""),$K156,IF($F156="You",$D156,IF($F156="Wife",0,IF($F156="Shared",$D156/2,0)))))</f>
        <v/>
      </c>
      <c r="N156" s="54">
        <f>IF($A156="","",IF(AND($K156&lt;&gt;"",$L156&lt;&gt;""),$L156,IF($F156="You",0,IF($F156="Wife",$D156,IF($F156="Shared",$D156/2,0)))))</f>
        <v/>
      </c>
    </row>
    <row r="157" ht="15" customHeight="1" s="43">
      <c r="A157" s="45" t="n"/>
      <c r="B157" s="46" t="n"/>
      <c r="C157" s="46" t="n"/>
      <c r="D157" s="47" t="n"/>
      <c r="E157" s="46" t="n"/>
      <c r="F157" s="46" t="n"/>
      <c r="G157" s="46" t="n"/>
      <c r="H157" s="46" t="n"/>
      <c r="I157" s="46">
        <f>IF($A157="","",TEXT($A157,"YYYY-MM"))</f>
        <v/>
      </c>
      <c r="J157" s="46" t="n"/>
      <c r="K157" s="48" t="n"/>
      <c r="L157" s="48" t="n"/>
      <c r="M157" s="49">
        <f>IF($A157="","",IF(AND($K157&lt;&gt;"",$L157&lt;&gt;""),$K157,IF($F157="You",$D157,IF($F157="Wife",0,IF($F157="Shared",$D157/2,0)))))</f>
        <v/>
      </c>
      <c r="N157" s="49">
        <f>IF($A157="","",IF(AND($K157&lt;&gt;"",$L157&lt;&gt;""),$L157,IF($F157="You",0,IF($F157="Wife",$D157,IF($F157="Shared",$D157/2,0)))))</f>
        <v/>
      </c>
    </row>
    <row r="158" ht="15" customHeight="1" s="43">
      <c r="A158" s="50" t="n"/>
      <c r="B158" s="51" t="n"/>
      <c r="C158" s="51" t="n"/>
      <c r="D158" s="52" t="n"/>
      <c r="E158" s="51" t="n"/>
      <c r="F158" s="51" t="n"/>
      <c r="G158" s="51" t="n"/>
      <c r="H158" s="51" t="n"/>
      <c r="I158" s="51">
        <f>IF($A158="","",TEXT($A158,"YYYY-MM"))</f>
        <v/>
      </c>
      <c r="J158" s="51" t="n"/>
      <c r="K158" s="53" t="n"/>
      <c r="L158" s="53" t="n"/>
      <c r="M158" s="54">
        <f>IF($A158="","",IF(AND($K158&lt;&gt;"",$L158&lt;&gt;""),$K158,IF($F158="You",$D158,IF($F158="Wife",0,IF($F158="Shared",$D158/2,0)))))</f>
        <v/>
      </c>
      <c r="N158" s="54">
        <f>IF($A158="","",IF(AND($K158&lt;&gt;"",$L158&lt;&gt;""),$L158,IF($F158="You",0,IF($F158="Wife",$D158,IF($F158="Shared",$D158/2,0)))))</f>
        <v/>
      </c>
    </row>
    <row r="159" ht="15" customHeight="1" s="43">
      <c r="A159" s="45" t="n"/>
      <c r="B159" s="46" t="n"/>
      <c r="C159" s="46" t="n"/>
      <c r="D159" s="47" t="n"/>
      <c r="E159" s="46" t="n"/>
      <c r="F159" s="46" t="n"/>
      <c r="G159" s="46" t="n"/>
      <c r="H159" s="46" t="n"/>
      <c r="I159" s="46">
        <f>IF($A159="","",TEXT($A159,"YYYY-MM"))</f>
        <v/>
      </c>
      <c r="J159" s="46" t="n"/>
      <c r="K159" s="48" t="n"/>
      <c r="L159" s="48" t="n"/>
      <c r="M159" s="49">
        <f>IF($A159="","",IF(AND($K159&lt;&gt;"",$L159&lt;&gt;""),$K159,IF($F159="You",$D159,IF($F159="Wife",0,IF($F159="Shared",$D159/2,0)))))</f>
        <v/>
      </c>
      <c r="N159" s="49">
        <f>IF($A159="","",IF(AND($K159&lt;&gt;"",$L159&lt;&gt;""),$L159,IF($F159="You",0,IF($F159="Wife",$D159,IF($F159="Shared",$D159/2,0)))))</f>
        <v/>
      </c>
    </row>
    <row r="160" ht="15" customHeight="1" s="43">
      <c r="A160" s="50" t="n"/>
      <c r="B160" s="51" t="n"/>
      <c r="C160" s="51" t="n"/>
      <c r="D160" s="52" t="n"/>
      <c r="E160" s="51" t="n"/>
      <c r="F160" s="51" t="n"/>
      <c r="G160" s="51" t="n"/>
      <c r="H160" s="51" t="n"/>
      <c r="I160" s="51">
        <f>IF($A160="","",TEXT($A160,"YYYY-MM"))</f>
        <v/>
      </c>
      <c r="J160" s="51" t="n"/>
      <c r="K160" s="53" t="n"/>
      <c r="L160" s="53" t="n"/>
      <c r="M160" s="54">
        <f>IF($A160="","",IF(AND($K160&lt;&gt;"",$L160&lt;&gt;""),$K160,IF($F160="You",$D160,IF($F160="Wife",0,IF($F160="Shared",$D160/2,0)))))</f>
        <v/>
      </c>
      <c r="N160" s="54">
        <f>IF($A160="","",IF(AND($K160&lt;&gt;"",$L160&lt;&gt;""),$L160,IF($F160="You",0,IF($F160="Wife",$D160,IF($F160="Shared",$D160/2,0)))))</f>
        <v/>
      </c>
    </row>
    <row r="161" ht="15" customHeight="1" s="43">
      <c r="A161" s="45" t="n"/>
      <c r="B161" s="46" t="n"/>
      <c r="C161" s="46" t="n"/>
      <c r="D161" s="47" t="n"/>
      <c r="E161" s="46" t="n"/>
      <c r="F161" s="46" t="n"/>
      <c r="G161" s="46" t="n"/>
      <c r="H161" s="46" t="n"/>
      <c r="I161" s="46">
        <f>IF($A161="","",TEXT($A161,"YYYY-MM"))</f>
        <v/>
      </c>
      <c r="J161" s="46" t="n"/>
      <c r="K161" s="48" t="n"/>
      <c r="L161" s="48" t="n"/>
      <c r="M161" s="49">
        <f>IF($A161="","",IF(AND($K161&lt;&gt;"",$L161&lt;&gt;""),$K161,IF($F161="You",$D161,IF($F161="Wife",0,IF($F161="Shared",$D161/2,0)))))</f>
        <v/>
      </c>
      <c r="N161" s="49">
        <f>IF($A161="","",IF(AND($K161&lt;&gt;"",$L161&lt;&gt;""),$L161,IF($F161="You",0,IF($F161="Wife",$D161,IF($F161="Shared",$D161/2,0)))))</f>
        <v/>
      </c>
    </row>
    <row r="162" ht="15" customHeight="1" s="43">
      <c r="A162" s="50" t="n"/>
      <c r="B162" s="51" t="n"/>
      <c r="C162" s="51" t="n"/>
      <c r="D162" s="52" t="n"/>
      <c r="E162" s="51" t="n"/>
      <c r="F162" s="51" t="n"/>
      <c r="G162" s="51" t="n"/>
      <c r="H162" s="51" t="n"/>
      <c r="I162" s="51">
        <f>IF($A162="","",TEXT($A162,"YYYY-MM"))</f>
        <v/>
      </c>
      <c r="J162" s="51" t="n"/>
      <c r="K162" s="53" t="n"/>
      <c r="L162" s="53" t="n"/>
      <c r="M162" s="54">
        <f>IF($A162="","",IF(AND($K162&lt;&gt;"",$L162&lt;&gt;""),$K162,IF($F162="You",$D162,IF($F162="Wife",0,IF($F162="Shared",$D162/2,0)))))</f>
        <v/>
      </c>
      <c r="N162" s="54">
        <f>IF($A162="","",IF(AND($K162&lt;&gt;"",$L162&lt;&gt;""),$L162,IF($F162="You",0,IF($F162="Wife",$D162,IF($F162="Shared",$D162/2,0)))))</f>
        <v/>
      </c>
    </row>
    <row r="163" ht="15" customHeight="1" s="43">
      <c r="A163" s="45" t="n"/>
      <c r="B163" s="46" t="n"/>
      <c r="C163" s="46" t="n"/>
      <c r="D163" s="47" t="n"/>
      <c r="E163" s="46" t="n"/>
      <c r="F163" s="46" t="n"/>
      <c r="G163" s="46" t="n"/>
      <c r="H163" s="46" t="n"/>
      <c r="I163" s="46">
        <f>IF($A163="","",TEXT($A163,"YYYY-MM"))</f>
        <v/>
      </c>
      <c r="J163" s="46" t="n"/>
      <c r="K163" s="48" t="n"/>
      <c r="L163" s="48" t="n"/>
      <c r="M163" s="49">
        <f>IF($A163="","",IF(AND($K163&lt;&gt;"",$L163&lt;&gt;""),$K163,IF($F163="You",$D163,IF($F163="Wife",0,IF($F163="Shared",$D163/2,0)))))</f>
        <v/>
      </c>
      <c r="N163" s="49">
        <f>IF($A163="","",IF(AND($K163&lt;&gt;"",$L163&lt;&gt;""),$L163,IF($F163="You",0,IF($F163="Wife",$D163,IF($F163="Shared",$D163/2,0)))))</f>
        <v/>
      </c>
    </row>
    <row r="164" ht="15" customHeight="1" s="43">
      <c r="A164" s="50" t="n"/>
      <c r="B164" s="51" t="n"/>
      <c r="C164" s="51" t="n"/>
      <c r="D164" s="52" t="n"/>
      <c r="E164" s="51" t="n"/>
      <c r="F164" s="51" t="n"/>
      <c r="G164" s="51" t="n"/>
      <c r="H164" s="51" t="n"/>
      <c r="I164" s="51">
        <f>IF($A164="","",TEXT($A164,"YYYY-MM"))</f>
        <v/>
      </c>
      <c r="J164" s="51" t="n"/>
      <c r="K164" s="53" t="n"/>
      <c r="L164" s="53" t="n"/>
      <c r="M164" s="54">
        <f>IF($A164="","",IF(AND($K164&lt;&gt;"",$L164&lt;&gt;""),$K164,IF($F164="You",$D164,IF($F164="Wife",0,IF($F164="Shared",$D164/2,0)))))</f>
        <v/>
      </c>
      <c r="N164" s="54">
        <f>IF($A164="","",IF(AND($K164&lt;&gt;"",$L164&lt;&gt;""),$L164,IF($F164="You",0,IF($F164="Wife",$D164,IF($F164="Shared",$D164/2,0)))))</f>
        <v/>
      </c>
    </row>
    <row r="165" ht="15" customHeight="1" s="43">
      <c r="A165" s="45" t="n"/>
      <c r="B165" s="46" t="n"/>
      <c r="C165" s="46" t="n"/>
      <c r="D165" s="47" t="n"/>
      <c r="E165" s="46" t="n"/>
      <c r="F165" s="46" t="n"/>
      <c r="G165" s="46" t="n"/>
      <c r="H165" s="46" t="n"/>
      <c r="I165" s="46">
        <f>IF($A165="","",TEXT($A165,"YYYY-MM"))</f>
        <v/>
      </c>
      <c r="J165" s="46" t="n"/>
      <c r="K165" s="48" t="n"/>
      <c r="L165" s="48" t="n"/>
      <c r="M165" s="49">
        <f>IF($A165="","",IF(AND($K165&lt;&gt;"",$L165&lt;&gt;""),$K165,IF($F165="You",$D165,IF($F165="Wife",0,IF($F165="Shared",$D165/2,0)))))</f>
        <v/>
      </c>
      <c r="N165" s="49">
        <f>IF($A165="","",IF(AND($K165&lt;&gt;"",$L165&lt;&gt;""),$L165,IF($F165="You",0,IF($F165="Wife",$D165,IF($F165="Shared",$D165/2,0)))))</f>
        <v/>
      </c>
    </row>
    <row r="166" ht="15" customHeight="1" s="43">
      <c r="A166" s="50" t="n"/>
      <c r="B166" s="51" t="n"/>
      <c r="C166" s="51" t="n"/>
      <c r="D166" s="52" t="n"/>
      <c r="E166" s="51" t="n"/>
      <c r="F166" s="51" t="n"/>
      <c r="G166" s="51" t="n"/>
      <c r="H166" s="51" t="n"/>
      <c r="I166" s="51">
        <f>IF($A166="","",TEXT($A166,"YYYY-MM"))</f>
        <v/>
      </c>
      <c r="J166" s="51" t="n"/>
      <c r="K166" s="53" t="n"/>
      <c r="L166" s="53" t="n"/>
      <c r="M166" s="54">
        <f>IF($A166="","",IF(AND($K166&lt;&gt;"",$L166&lt;&gt;""),$K166,IF($F166="You",$D166,IF($F166="Wife",0,IF($F166="Shared",$D166/2,0)))))</f>
        <v/>
      </c>
      <c r="N166" s="54">
        <f>IF($A166="","",IF(AND($K166&lt;&gt;"",$L166&lt;&gt;""),$L166,IF($F166="You",0,IF($F166="Wife",$D166,IF($F166="Shared",$D166/2,0)))))</f>
        <v/>
      </c>
    </row>
    <row r="167" ht="15" customHeight="1" s="43">
      <c r="A167" s="45" t="n"/>
      <c r="B167" s="46" t="n"/>
      <c r="C167" s="46" t="n"/>
      <c r="D167" s="47" t="n"/>
      <c r="E167" s="46" t="n"/>
      <c r="F167" s="46" t="n"/>
      <c r="G167" s="46" t="n"/>
      <c r="H167" s="46" t="n"/>
      <c r="I167" s="46">
        <f>IF($A167="","",TEXT($A167,"YYYY-MM"))</f>
        <v/>
      </c>
      <c r="J167" s="46" t="n"/>
      <c r="K167" s="48" t="n"/>
      <c r="L167" s="48" t="n"/>
      <c r="M167" s="49">
        <f>IF($A167="","",IF(AND($K167&lt;&gt;"",$L167&lt;&gt;""),$K167,IF($F167="You",$D167,IF($F167="Wife",0,IF($F167="Shared",$D167/2,0)))))</f>
        <v/>
      </c>
      <c r="N167" s="49">
        <f>IF($A167="","",IF(AND($K167&lt;&gt;"",$L167&lt;&gt;""),$L167,IF($F167="You",0,IF($F167="Wife",$D167,IF($F167="Shared",$D167/2,0)))))</f>
        <v/>
      </c>
    </row>
    <row r="168" ht="15" customHeight="1" s="43">
      <c r="A168" s="50" t="n"/>
      <c r="B168" s="51" t="n"/>
      <c r="C168" s="51" t="n"/>
      <c r="D168" s="52" t="n"/>
      <c r="E168" s="51" t="n"/>
      <c r="F168" s="51" t="n"/>
      <c r="G168" s="51" t="n"/>
      <c r="H168" s="51" t="n"/>
      <c r="I168" s="51">
        <f>IF($A168="","",TEXT($A168,"YYYY-MM"))</f>
        <v/>
      </c>
      <c r="J168" s="51" t="n"/>
      <c r="K168" s="53" t="n"/>
      <c r="L168" s="53" t="n"/>
      <c r="M168" s="54">
        <f>IF($A168="","",IF(AND($K168&lt;&gt;"",$L168&lt;&gt;""),$K168,IF($F168="You",$D168,IF($F168="Wife",0,IF($F168="Shared",$D168/2,0)))))</f>
        <v/>
      </c>
      <c r="N168" s="54">
        <f>IF($A168="","",IF(AND($K168&lt;&gt;"",$L168&lt;&gt;""),$L168,IF($F168="You",0,IF($F168="Wife",$D168,IF($F168="Shared",$D168/2,0)))))</f>
        <v/>
      </c>
    </row>
    <row r="169" ht="15" customHeight="1" s="43">
      <c r="A169" s="45" t="n"/>
      <c r="B169" s="46" t="n"/>
      <c r="C169" s="46" t="n"/>
      <c r="D169" s="47" t="n"/>
      <c r="E169" s="46" t="n"/>
      <c r="F169" s="46" t="n"/>
      <c r="G169" s="46" t="n"/>
      <c r="H169" s="46" t="n"/>
      <c r="I169" s="46">
        <f>IF($A169="","",TEXT($A169,"YYYY-MM"))</f>
        <v/>
      </c>
      <c r="J169" s="46" t="n"/>
      <c r="K169" s="48" t="n"/>
      <c r="L169" s="48" t="n"/>
      <c r="M169" s="49">
        <f>IF($A169="","",IF(AND($K169&lt;&gt;"",$L169&lt;&gt;""),$K169,IF($F169="You",$D169,IF($F169="Wife",0,IF($F169="Shared",$D169/2,0)))))</f>
        <v/>
      </c>
      <c r="N169" s="49">
        <f>IF($A169="","",IF(AND($K169&lt;&gt;"",$L169&lt;&gt;""),$L169,IF($F169="You",0,IF($F169="Wife",$D169,IF($F169="Shared",$D169/2,0)))))</f>
        <v/>
      </c>
    </row>
    <row r="170" ht="15" customHeight="1" s="43">
      <c r="A170" s="50" t="n"/>
      <c r="B170" s="51" t="n"/>
      <c r="C170" s="51" t="n"/>
      <c r="D170" s="52" t="n"/>
      <c r="E170" s="51" t="n"/>
      <c r="F170" s="51" t="n"/>
      <c r="G170" s="51" t="n"/>
      <c r="H170" s="51" t="n"/>
      <c r="I170" s="51">
        <f>IF($A170="","",TEXT($A170,"YYYY-MM"))</f>
        <v/>
      </c>
      <c r="J170" s="51" t="n"/>
      <c r="K170" s="53" t="n"/>
      <c r="L170" s="53" t="n"/>
      <c r="M170" s="54">
        <f>IF($A170="","",IF(AND($K170&lt;&gt;"",$L170&lt;&gt;""),$K170,IF($F170="You",$D170,IF($F170="Wife",0,IF($F170="Shared",$D170/2,0)))))</f>
        <v/>
      </c>
      <c r="N170" s="54">
        <f>IF($A170="","",IF(AND($K170&lt;&gt;"",$L170&lt;&gt;""),$L170,IF($F170="You",0,IF($F170="Wife",$D170,IF($F170="Shared",$D170/2,0)))))</f>
        <v/>
      </c>
    </row>
    <row r="171" ht="15" customHeight="1" s="43">
      <c r="A171" s="45" t="n"/>
      <c r="B171" s="46" t="n"/>
      <c r="C171" s="46" t="n"/>
      <c r="D171" s="47" t="n"/>
      <c r="E171" s="46" t="n"/>
      <c r="F171" s="46" t="n"/>
      <c r="G171" s="46" t="n"/>
      <c r="H171" s="46" t="n"/>
      <c r="I171" s="46">
        <f>IF($A171="","",TEXT($A171,"YYYY-MM"))</f>
        <v/>
      </c>
      <c r="J171" s="46" t="n"/>
      <c r="K171" s="48" t="n"/>
      <c r="L171" s="48" t="n"/>
      <c r="M171" s="49">
        <f>IF($A171="","",IF(AND($K171&lt;&gt;"",$L171&lt;&gt;""),$K171,IF($F171="You",$D171,IF($F171="Wife",0,IF($F171="Shared",$D171/2,0)))))</f>
        <v/>
      </c>
      <c r="N171" s="49">
        <f>IF($A171="","",IF(AND($K171&lt;&gt;"",$L171&lt;&gt;""),$L171,IF($F171="You",0,IF($F171="Wife",$D171,IF($F171="Shared",$D171/2,0)))))</f>
        <v/>
      </c>
    </row>
    <row r="172" ht="15" customHeight="1" s="43">
      <c r="A172" s="50" t="n"/>
      <c r="B172" s="51" t="n"/>
      <c r="C172" s="51" t="n"/>
      <c r="D172" s="52" t="n"/>
      <c r="E172" s="51" t="n"/>
      <c r="F172" s="51" t="n"/>
      <c r="G172" s="51" t="n"/>
      <c r="H172" s="51" t="n"/>
      <c r="I172" s="51">
        <f>IF($A172="","",TEXT($A172,"YYYY-MM"))</f>
        <v/>
      </c>
      <c r="J172" s="51" t="n"/>
      <c r="K172" s="53" t="n"/>
      <c r="L172" s="53" t="n"/>
      <c r="M172" s="54">
        <f>IF($A172="","",IF(AND($K172&lt;&gt;"",$L172&lt;&gt;""),$K172,IF($F172="You",$D172,IF($F172="Wife",0,IF($F172="Shared",$D172/2,0)))))</f>
        <v/>
      </c>
      <c r="N172" s="54">
        <f>IF($A172="","",IF(AND($K172&lt;&gt;"",$L172&lt;&gt;""),$L172,IF($F172="You",0,IF($F172="Wife",$D172,IF($F172="Shared",$D172/2,0)))))</f>
        <v/>
      </c>
    </row>
    <row r="173" ht="15" customHeight="1" s="43">
      <c r="A173" s="45" t="n"/>
      <c r="B173" s="46" t="n"/>
      <c r="C173" s="46" t="n"/>
      <c r="D173" s="47" t="n"/>
      <c r="E173" s="46" t="n"/>
      <c r="F173" s="46" t="n"/>
      <c r="G173" s="46" t="n"/>
      <c r="H173" s="46" t="n"/>
      <c r="I173" s="46">
        <f>IF($A173="","",TEXT($A173,"YYYY-MM"))</f>
        <v/>
      </c>
      <c r="J173" s="46" t="n"/>
      <c r="K173" s="48" t="n"/>
      <c r="L173" s="48" t="n"/>
      <c r="M173" s="49">
        <f>IF($A173="","",IF(AND($K173&lt;&gt;"",$L173&lt;&gt;""),$K173,IF($F173="You",$D173,IF($F173="Wife",0,IF($F173="Shared",$D173/2,0)))))</f>
        <v/>
      </c>
      <c r="N173" s="49">
        <f>IF($A173="","",IF(AND($K173&lt;&gt;"",$L173&lt;&gt;""),$L173,IF($F173="You",0,IF($F173="Wife",$D173,IF($F173="Shared",$D173/2,0)))))</f>
        <v/>
      </c>
    </row>
    <row r="174" ht="15" customHeight="1" s="43">
      <c r="A174" s="50" t="n"/>
      <c r="B174" s="51" t="n"/>
      <c r="C174" s="51" t="n"/>
      <c r="D174" s="52" t="n"/>
      <c r="E174" s="51" t="n"/>
      <c r="F174" s="51" t="n"/>
      <c r="G174" s="51" t="n"/>
      <c r="H174" s="51" t="n"/>
      <c r="I174" s="51">
        <f>IF($A174="","",TEXT($A174,"YYYY-MM"))</f>
        <v/>
      </c>
      <c r="J174" s="51" t="n"/>
      <c r="K174" s="53" t="n"/>
      <c r="L174" s="53" t="n"/>
      <c r="M174" s="54">
        <f>IF($A174="","",IF(AND($K174&lt;&gt;"",$L174&lt;&gt;""),$K174,IF($F174="You",$D174,IF($F174="Wife",0,IF($F174="Shared",$D174/2,0)))))</f>
        <v/>
      </c>
      <c r="N174" s="54">
        <f>IF($A174="","",IF(AND($K174&lt;&gt;"",$L174&lt;&gt;""),$L174,IF($F174="You",0,IF($F174="Wife",$D174,IF($F174="Shared",$D174/2,0)))))</f>
        <v/>
      </c>
    </row>
    <row r="175" ht="15" customHeight="1" s="43">
      <c r="A175" s="45" t="n"/>
      <c r="B175" s="46" t="n"/>
      <c r="C175" s="46" t="n"/>
      <c r="D175" s="47" t="n"/>
      <c r="E175" s="46" t="n"/>
      <c r="F175" s="46" t="n"/>
      <c r="G175" s="46" t="n"/>
      <c r="H175" s="46" t="n"/>
      <c r="I175" s="46">
        <f>IF($A175="","",TEXT($A175,"YYYY-MM"))</f>
        <v/>
      </c>
      <c r="J175" s="46" t="n"/>
      <c r="K175" s="48" t="n"/>
      <c r="L175" s="48" t="n"/>
      <c r="M175" s="49">
        <f>IF($A175="","",IF(AND($K175&lt;&gt;"",$L175&lt;&gt;""),$K175,IF($F175="You",$D175,IF($F175="Wife",0,IF($F175="Shared",$D175/2,0)))))</f>
        <v/>
      </c>
      <c r="N175" s="49">
        <f>IF($A175="","",IF(AND($K175&lt;&gt;"",$L175&lt;&gt;""),$L175,IF($F175="You",0,IF($F175="Wife",$D175,IF($F175="Shared",$D175/2,0)))))</f>
        <v/>
      </c>
    </row>
    <row r="176" ht="15" customHeight="1" s="43">
      <c r="A176" s="50" t="n"/>
      <c r="B176" s="51" t="n"/>
      <c r="C176" s="51" t="n"/>
      <c r="D176" s="52" t="n"/>
      <c r="E176" s="51" t="n"/>
      <c r="F176" s="51" t="n"/>
      <c r="G176" s="51" t="n"/>
      <c r="H176" s="51" t="n"/>
      <c r="I176" s="51">
        <f>IF($A176="","",TEXT($A176,"YYYY-MM"))</f>
        <v/>
      </c>
      <c r="J176" s="51" t="n"/>
      <c r="K176" s="53" t="n"/>
      <c r="L176" s="53" t="n"/>
      <c r="M176" s="54">
        <f>IF($A176="","",IF(AND($K176&lt;&gt;"",$L176&lt;&gt;""),$K176,IF($F176="You",$D176,IF($F176="Wife",0,IF($F176="Shared",$D176/2,0)))))</f>
        <v/>
      </c>
      <c r="N176" s="54">
        <f>IF($A176="","",IF(AND($K176&lt;&gt;"",$L176&lt;&gt;""),$L176,IF($F176="You",0,IF($F176="Wife",$D176,IF($F176="Shared",$D176/2,0)))))</f>
        <v/>
      </c>
    </row>
    <row r="177" ht="15" customHeight="1" s="43">
      <c r="A177" s="45" t="n"/>
      <c r="B177" s="46" t="n"/>
      <c r="C177" s="46" t="n"/>
      <c r="D177" s="47" t="n"/>
      <c r="E177" s="46" t="n"/>
      <c r="F177" s="46" t="n"/>
      <c r="G177" s="46" t="n"/>
      <c r="H177" s="46" t="n"/>
      <c r="I177" s="46">
        <f>IF($A177="","",TEXT($A177,"YYYY-MM"))</f>
        <v/>
      </c>
      <c r="J177" s="46" t="n"/>
      <c r="K177" s="48" t="n"/>
      <c r="L177" s="48" t="n"/>
      <c r="M177" s="49">
        <f>IF($A177="","",IF(AND($K177&lt;&gt;"",$L177&lt;&gt;""),$K177,IF($F177="You",$D177,IF($F177="Wife",0,IF($F177="Shared",$D177/2,0)))))</f>
        <v/>
      </c>
      <c r="N177" s="49">
        <f>IF($A177="","",IF(AND($K177&lt;&gt;"",$L177&lt;&gt;""),$L177,IF($F177="You",0,IF($F177="Wife",$D177,IF($F177="Shared",$D177/2,0)))))</f>
        <v/>
      </c>
    </row>
    <row r="178" ht="15" customHeight="1" s="43">
      <c r="A178" s="50" t="n"/>
      <c r="B178" s="51" t="n"/>
      <c r="C178" s="51" t="n"/>
      <c r="D178" s="52" t="n"/>
      <c r="E178" s="51" t="n"/>
      <c r="F178" s="51" t="n"/>
      <c r="G178" s="51" t="n"/>
      <c r="H178" s="51" t="n"/>
      <c r="I178" s="51">
        <f>IF($A178="","",TEXT($A178,"YYYY-MM"))</f>
        <v/>
      </c>
      <c r="J178" s="51" t="n"/>
      <c r="K178" s="53" t="n"/>
      <c r="L178" s="53" t="n"/>
      <c r="M178" s="54">
        <f>IF($A178="","",IF(AND($K178&lt;&gt;"",$L178&lt;&gt;""),$K178,IF($F178="You",$D178,IF($F178="Wife",0,IF($F178="Shared",$D178/2,0)))))</f>
        <v/>
      </c>
      <c r="N178" s="54">
        <f>IF($A178="","",IF(AND($K178&lt;&gt;"",$L178&lt;&gt;""),$L178,IF($F178="You",0,IF($F178="Wife",$D178,IF($F178="Shared",$D178/2,0)))))</f>
        <v/>
      </c>
    </row>
    <row r="179" ht="15" customHeight="1" s="43">
      <c r="A179" s="45" t="n"/>
      <c r="B179" s="46" t="n"/>
      <c r="C179" s="46" t="n"/>
      <c r="D179" s="47" t="n"/>
      <c r="E179" s="46" t="n"/>
      <c r="F179" s="46" t="n"/>
      <c r="G179" s="46" t="n"/>
      <c r="H179" s="46" t="n"/>
      <c r="I179" s="46">
        <f>IF($A179="","",TEXT($A179,"YYYY-MM"))</f>
        <v/>
      </c>
      <c r="J179" s="46" t="n"/>
      <c r="K179" s="48" t="n"/>
      <c r="L179" s="48" t="n"/>
      <c r="M179" s="49">
        <f>IF($A179="","",IF(AND($K179&lt;&gt;"",$L179&lt;&gt;""),$K179,IF($F179="You",$D179,IF($F179="Wife",0,IF($F179="Shared",$D179/2,0)))))</f>
        <v/>
      </c>
      <c r="N179" s="49">
        <f>IF($A179="","",IF(AND($K179&lt;&gt;"",$L179&lt;&gt;""),$L179,IF($F179="You",0,IF($F179="Wife",$D179,IF($F179="Shared",$D179/2,0)))))</f>
        <v/>
      </c>
    </row>
    <row r="180" ht="15" customHeight="1" s="43">
      <c r="A180" s="50" t="n"/>
      <c r="B180" s="51" t="n"/>
      <c r="C180" s="51" t="n"/>
      <c r="D180" s="52" t="n"/>
      <c r="E180" s="51" t="n"/>
      <c r="F180" s="51" t="n"/>
      <c r="G180" s="51" t="n"/>
      <c r="H180" s="51" t="n"/>
      <c r="I180" s="51">
        <f>IF($A180="","",TEXT($A180,"YYYY-MM"))</f>
        <v/>
      </c>
      <c r="J180" s="51" t="n"/>
      <c r="K180" s="53" t="n"/>
      <c r="L180" s="53" t="n"/>
      <c r="M180" s="54">
        <f>IF($A180="","",IF(AND($K180&lt;&gt;"",$L180&lt;&gt;""),$K180,IF($F180="You",$D180,IF($F180="Wife",0,IF($F180="Shared",$D180/2,0)))))</f>
        <v/>
      </c>
      <c r="N180" s="54">
        <f>IF($A180="","",IF(AND($K180&lt;&gt;"",$L180&lt;&gt;""),$L180,IF($F180="You",0,IF($F180="Wife",$D180,IF($F180="Shared",$D180/2,0)))))</f>
        <v/>
      </c>
    </row>
    <row r="181" ht="15" customHeight="1" s="43">
      <c r="A181" s="45" t="n"/>
      <c r="B181" s="46" t="n"/>
      <c r="C181" s="46" t="n"/>
      <c r="D181" s="47" t="n"/>
      <c r="E181" s="46" t="n"/>
      <c r="F181" s="46" t="n"/>
      <c r="G181" s="46" t="n"/>
      <c r="H181" s="46" t="n"/>
      <c r="I181" s="46">
        <f>IF($A181="","",TEXT($A181,"YYYY-MM"))</f>
        <v/>
      </c>
      <c r="J181" s="46" t="n"/>
      <c r="K181" s="48" t="n"/>
      <c r="L181" s="48" t="n"/>
      <c r="M181" s="49">
        <f>IF($A181="","",IF(AND($K181&lt;&gt;"",$L181&lt;&gt;""),$K181,IF($F181="You",$D181,IF($F181="Wife",0,IF($F181="Shared",$D181/2,0)))))</f>
        <v/>
      </c>
      <c r="N181" s="49">
        <f>IF($A181="","",IF(AND($K181&lt;&gt;"",$L181&lt;&gt;""),$L181,IF($F181="You",0,IF($F181="Wife",$D181,IF($F181="Shared",$D181/2,0)))))</f>
        <v/>
      </c>
    </row>
    <row r="182" ht="15" customHeight="1" s="43">
      <c r="A182" s="50" t="n"/>
      <c r="B182" s="51" t="n"/>
      <c r="C182" s="51" t="n"/>
      <c r="D182" s="52" t="n"/>
      <c r="E182" s="51" t="n"/>
      <c r="F182" s="51" t="n"/>
      <c r="G182" s="51" t="n"/>
      <c r="H182" s="51" t="n"/>
      <c r="I182" s="51">
        <f>IF($A182="","",TEXT($A182,"YYYY-MM"))</f>
        <v/>
      </c>
      <c r="J182" s="51" t="n"/>
      <c r="K182" s="53" t="n"/>
      <c r="L182" s="53" t="n"/>
      <c r="M182" s="54">
        <f>IF($A182="","",IF(AND($K182&lt;&gt;"",$L182&lt;&gt;""),$K182,IF($F182="You",$D182,IF($F182="Wife",0,IF($F182="Shared",$D182/2,0)))))</f>
        <v/>
      </c>
      <c r="N182" s="54">
        <f>IF($A182="","",IF(AND($K182&lt;&gt;"",$L182&lt;&gt;""),$L182,IF($F182="You",0,IF($F182="Wife",$D182,IF($F182="Shared",$D182/2,0)))))</f>
        <v/>
      </c>
    </row>
    <row r="183" ht="15" customHeight="1" s="43">
      <c r="A183" s="45" t="n"/>
      <c r="B183" s="46" t="n"/>
      <c r="C183" s="46" t="n"/>
      <c r="D183" s="47" t="n"/>
      <c r="E183" s="46" t="n"/>
      <c r="F183" s="46" t="n"/>
      <c r="G183" s="46" t="n"/>
      <c r="H183" s="46" t="n"/>
      <c r="I183" s="46">
        <f>IF($A183="","",TEXT($A183,"YYYY-MM"))</f>
        <v/>
      </c>
      <c r="J183" s="46" t="n"/>
      <c r="K183" s="48" t="n"/>
      <c r="L183" s="48" t="n"/>
      <c r="M183" s="49">
        <f>IF($A183="","",IF(AND($K183&lt;&gt;"",$L183&lt;&gt;""),$K183,IF($F183="You",$D183,IF($F183="Wife",0,IF($F183="Shared",$D183/2,0)))))</f>
        <v/>
      </c>
      <c r="N183" s="49">
        <f>IF($A183="","",IF(AND($K183&lt;&gt;"",$L183&lt;&gt;""),$L183,IF($F183="You",0,IF($F183="Wife",$D183,IF($F183="Shared",$D183/2,0)))))</f>
        <v/>
      </c>
    </row>
    <row r="184" ht="15" customHeight="1" s="43">
      <c r="A184" s="50" t="n"/>
      <c r="B184" s="51" t="n"/>
      <c r="C184" s="51" t="n"/>
      <c r="D184" s="52" t="n"/>
      <c r="E184" s="51" t="n"/>
      <c r="F184" s="51" t="n"/>
      <c r="G184" s="51" t="n"/>
      <c r="H184" s="51" t="n"/>
      <c r="I184" s="51">
        <f>IF($A184="","",TEXT($A184,"YYYY-MM"))</f>
        <v/>
      </c>
      <c r="J184" s="51" t="n"/>
      <c r="K184" s="53" t="n"/>
      <c r="L184" s="53" t="n"/>
      <c r="M184" s="54">
        <f>IF($A184="","",IF(AND($K184&lt;&gt;"",$L184&lt;&gt;""),$K184,IF($F184="You",$D184,IF($F184="Wife",0,IF($F184="Shared",$D184/2,0)))))</f>
        <v/>
      </c>
      <c r="N184" s="54">
        <f>IF($A184="","",IF(AND($K184&lt;&gt;"",$L184&lt;&gt;""),$L184,IF($F184="You",0,IF($F184="Wife",$D184,IF($F184="Shared",$D184/2,0)))))</f>
        <v/>
      </c>
    </row>
    <row r="185" ht="15" customHeight="1" s="43">
      <c r="A185" s="45" t="n"/>
      <c r="B185" s="46" t="n"/>
      <c r="C185" s="46" t="n"/>
      <c r="D185" s="47" t="n"/>
      <c r="E185" s="46" t="n"/>
      <c r="F185" s="46" t="n"/>
      <c r="G185" s="46" t="n"/>
      <c r="H185" s="46" t="n"/>
      <c r="I185" s="46">
        <f>IF($A185="","",TEXT($A185,"YYYY-MM"))</f>
        <v/>
      </c>
      <c r="J185" s="46" t="n"/>
      <c r="K185" s="48" t="n"/>
      <c r="L185" s="48" t="n"/>
      <c r="M185" s="49">
        <f>IF($A185="","",IF(AND($K185&lt;&gt;"",$L185&lt;&gt;""),$K185,IF($F185="You",$D185,IF($F185="Wife",0,IF($F185="Shared",$D185/2,0)))))</f>
        <v/>
      </c>
      <c r="N185" s="49">
        <f>IF($A185="","",IF(AND($K185&lt;&gt;"",$L185&lt;&gt;""),$L185,IF($F185="You",0,IF($F185="Wife",$D185,IF($F185="Shared",$D185/2,0)))))</f>
        <v/>
      </c>
    </row>
    <row r="186" ht="15" customHeight="1" s="43">
      <c r="A186" s="50" t="n"/>
      <c r="B186" s="51" t="n"/>
      <c r="C186" s="51" t="n"/>
      <c r="D186" s="52" t="n"/>
      <c r="E186" s="51" t="n"/>
      <c r="F186" s="51" t="n"/>
      <c r="G186" s="51" t="n"/>
      <c r="H186" s="51" t="n"/>
      <c r="I186" s="51">
        <f>IF($A186="","",TEXT($A186,"YYYY-MM"))</f>
        <v/>
      </c>
      <c r="J186" s="51" t="n"/>
      <c r="K186" s="53" t="n"/>
      <c r="L186" s="53" t="n"/>
      <c r="M186" s="54">
        <f>IF($A186="","",IF(AND($K186&lt;&gt;"",$L186&lt;&gt;""),$K186,IF($F186="You",$D186,IF($F186="Wife",0,IF($F186="Shared",$D186/2,0)))))</f>
        <v/>
      </c>
      <c r="N186" s="54">
        <f>IF($A186="","",IF(AND($K186&lt;&gt;"",$L186&lt;&gt;""),$L186,IF($F186="You",0,IF($F186="Wife",$D186,IF($F186="Shared",$D186/2,0)))))</f>
        <v/>
      </c>
    </row>
    <row r="187" ht="15" customHeight="1" s="43">
      <c r="A187" s="45" t="n"/>
      <c r="B187" s="46" t="n"/>
      <c r="C187" s="46" t="n"/>
      <c r="D187" s="47" t="n"/>
      <c r="E187" s="46" t="n"/>
      <c r="F187" s="46" t="n"/>
      <c r="G187" s="46" t="n"/>
      <c r="H187" s="46" t="n"/>
      <c r="I187" s="46">
        <f>IF($A187="","",TEXT($A187,"YYYY-MM"))</f>
        <v/>
      </c>
      <c r="J187" s="46" t="n"/>
      <c r="K187" s="48" t="n"/>
      <c r="L187" s="48" t="n"/>
      <c r="M187" s="49">
        <f>IF($A187="","",IF(AND($K187&lt;&gt;"",$L187&lt;&gt;""),$K187,IF($F187="You",$D187,IF($F187="Wife",0,IF($F187="Shared",$D187/2,0)))))</f>
        <v/>
      </c>
      <c r="N187" s="49">
        <f>IF($A187="","",IF(AND($K187&lt;&gt;"",$L187&lt;&gt;""),$L187,IF($F187="You",0,IF($F187="Wife",$D187,IF($F187="Shared",$D187/2,0)))))</f>
        <v/>
      </c>
    </row>
    <row r="188" ht="15" customHeight="1" s="43">
      <c r="A188" s="50" t="n"/>
      <c r="B188" s="51" t="n"/>
      <c r="C188" s="51" t="n"/>
      <c r="D188" s="52" t="n"/>
      <c r="E188" s="51" t="n"/>
      <c r="F188" s="51" t="n"/>
      <c r="G188" s="51" t="n"/>
      <c r="H188" s="51" t="n"/>
      <c r="I188" s="51">
        <f>IF($A188="","",TEXT($A188,"YYYY-MM"))</f>
        <v/>
      </c>
      <c r="J188" s="51" t="n"/>
      <c r="K188" s="53" t="n"/>
      <c r="L188" s="53" t="n"/>
      <c r="M188" s="54">
        <f>IF($A188="","",IF(AND($K188&lt;&gt;"",$L188&lt;&gt;""),$K188,IF($F188="You",$D188,IF($F188="Wife",0,IF($F188="Shared",$D188/2,0)))))</f>
        <v/>
      </c>
      <c r="N188" s="54">
        <f>IF($A188="","",IF(AND($K188&lt;&gt;"",$L188&lt;&gt;""),$L188,IF($F188="You",0,IF($F188="Wife",$D188,IF($F188="Shared",$D188/2,0)))))</f>
        <v/>
      </c>
    </row>
    <row r="189" ht="15" customHeight="1" s="43">
      <c r="A189" s="45" t="n"/>
      <c r="B189" s="46" t="n"/>
      <c r="C189" s="46" t="n"/>
      <c r="D189" s="47" t="n"/>
      <c r="E189" s="46" t="n"/>
      <c r="F189" s="46" t="n"/>
      <c r="G189" s="46" t="n"/>
      <c r="H189" s="46" t="n"/>
      <c r="I189" s="46">
        <f>IF($A189="","",TEXT($A189,"YYYY-MM"))</f>
        <v/>
      </c>
      <c r="J189" s="46" t="n"/>
      <c r="K189" s="48" t="n"/>
      <c r="L189" s="48" t="n"/>
      <c r="M189" s="49">
        <f>IF($A189="","",IF(AND($K189&lt;&gt;"",$L189&lt;&gt;""),$K189,IF($F189="You",$D189,IF($F189="Wife",0,IF($F189="Shared",$D189/2,0)))))</f>
        <v/>
      </c>
      <c r="N189" s="49">
        <f>IF($A189="","",IF(AND($K189&lt;&gt;"",$L189&lt;&gt;""),$L189,IF($F189="You",0,IF($F189="Wife",$D189,IF($F189="Shared",$D189/2,0)))))</f>
        <v/>
      </c>
    </row>
    <row r="190" ht="15" customHeight="1" s="43">
      <c r="A190" s="50" t="n"/>
      <c r="B190" s="51" t="n"/>
      <c r="C190" s="51" t="n"/>
      <c r="D190" s="52" t="n"/>
      <c r="E190" s="51" t="n"/>
      <c r="F190" s="51" t="n"/>
      <c r="G190" s="51" t="n"/>
      <c r="H190" s="51" t="n"/>
      <c r="I190" s="51">
        <f>IF($A190="","",TEXT($A190,"YYYY-MM"))</f>
        <v/>
      </c>
      <c r="J190" s="51" t="n"/>
      <c r="K190" s="53" t="n"/>
      <c r="L190" s="53" t="n"/>
      <c r="M190" s="54">
        <f>IF($A190="","",IF(AND($K190&lt;&gt;"",$L190&lt;&gt;""),$K190,IF($F190="You",$D190,IF($F190="Wife",0,IF($F190="Shared",$D190/2,0)))))</f>
        <v/>
      </c>
      <c r="N190" s="54">
        <f>IF($A190="","",IF(AND($K190&lt;&gt;"",$L190&lt;&gt;""),$L190,IF($F190="You",0,IF($F190="Wife",$D190,IF($F190="Shared",$D190/2,0)))))</f>
        <v/>
      </c>
    </row>
    <row r="191" ht="15" customHeight="1" s="43">
      <c r="A191" s="45" t="n"/>
      <c r="B191" s="46" t="n"/>
      <c r="C191" s="46" t="n"/>
      <c r="D191" s="47" t="n"/>
      <c r="E191" s="46" t="n"/>
      <c r="F191" s="46" t="n"/>
      <c r="G191" s="46" t="n"/>
      <c r="H191" s="46" t="n"/>
      <c r="I191" s="46">
        <f>IF($A191="","",TEXT($A191,"YYYY-MM"))</f>
        <v/>
      </c>
      <c r="J191" s="46" t="n"/>
      <c r="K191" s="48" t="n"/>
      <c r="L191" s="48" t="n"/>
      <c r="M191" s="49">
        <f>IF($A191="","",IF(AND($K191&lt;&gt;"",$L191&lt;&gt;""),$K191,IF($F191="You",$D191,IF($F191="Wife",0,IF($F191="Shared",$D191/2,0)))))</f>
        <v/>
      </c>
      <c r="N191" s="49">
        <f>IF($A191="","",IF(AND($K191&lt;&gt;"",$L191&lt;&gt;""),$L191,IF($F191="You",0,IF($F191="Wife",$D191,IF($F191="Shared",$D191/2,0)))))</f>
        <v/>
      </c>
    </row>
    <row r="192" ht="15" customHeight="1" s="43">
      <c r="A192" s="50" t="n"/>
      <c r="B192" s="51" t="n"/>
      <c r="C192" s="51" t="n"/>
      <c r="D192" s="52" t="n"/>
      <c r="E192" s="51" t="n"/>
      <c r="F192" s="51" t="n"/>
      <c r="G192" s="51" t="n"/>
      <c r="H192" s="51" t="n"/>
      <c r="I192" s="51">
        <f>IF($A192="","",TEXT($A192,"YYYY-MM"))</f>
        <v/>
      </c>
      <c r="J192" s="51" t="n"/>
      <c r="K192" s="53" t="n"/>
      <c r="L192" s="53" t="n"/>
      <c r="M192" s="54">
        <f>IF($A192="","",IF(AND($K192&lt;&gt;"",$L192&lt;&gt;""),$K192,IF($F192="You",$D192,IF($F192="Wife",0,IF($F192="Shared",$D192/2,0)))))</f>
        <v/>
      </c>
      <c r="N192" s="54">
        <f>IF($A192="","",IF(AND($K192&lt;&gt;"",$L192&lt;&gt;""),$L192,IF($F192="You",0,IF($F192="Wife",$D192,IF($F192="Shared",$D192/2,0)))))</f>
        <v/>
      </c>
    </row>
    <row r="193" ht="15" customHeight="1" s="43">
      <c r="A193" s="45" t="n"/>
      <c r="B193" s="46" t="n"/>
      <c r="C193" s="46" t="n"/>
      <c r="D193" s="47" t="n"/>
      <c r="E193" s="46" t="n"/>
      <c r="F193" s="46" t="n"/>
      <c r="G193" s="46" t="n"/>
      <c r="H193" s="46" t="n"/>
      <c r="I193" s="46">
        <f>IF($A193="","",TEXT($A193,"YYYY-MM"))</f>
        <v/>
      </c>
      <c r="J193" s="46" t="n"/>
      <c r="K193" s="48" t="n"/>
      <c r="L193" s="48" t="n"/>
      <c r="M193" s="49">
        <f>IF($A193="","",IF(AND($K193&lt;&gt;"",$L193&lt;&gt;""),$K193,IF($F193="You",$D193,IF($F193="Wife",0,IF($F193="Shared",$D193/2,0)))))</f>
        <v/>
      </c>
      <c r="N193" s="49">
        <f>IF($A193="","",IF(AND($K193&lt;&gt;"",$L193&lt;&gt;""),$L193,IF($F193="You",0,IF($F193="Wife",$D193,IF($F193="Shared",$D193/2,0)))))</f>
        <v/>
      </c>
    </row>
    <row r="194" ht="15" customHeight="1" s="43">
      <c r="A194" s="50" t="n"/>
      <c r="B194" s="51" t="n"/>
      <c r="C194" s="51" t="n"/>
      <c r="D194" s="52" t="n"/>
      <c r="E194" s="51" t="n"/>
      <c r="F194" s="51" t="n"/>
      <c r="G194" s="51" t="n"/>
      <c r="H194" s="51" t="n"/>
      <c r="I194" s="51">
        <f>IF($A194="","",TEXT($A194,"YYYY-MM"))</f>
        <v/>
      </c>
      <c r="J194" s="51" t="n"/>
      <c r="K194" s="53" t="n"/>
      <c r="L194" s="53" t="n"/>
      <c r="M194" s="54">
        <f>IF($A194="","",IF(AND($K194&lt;&gt;"",$L194&lt;&gt;""),$K194,IF($F194="You",$D194,IF($F194="Wife",0,IF($F194="Shared",$D194/2,0)))))</f>
        <v/>
      </c>
      <c r="N194" s="54">
        <f>IF($A194="","",IF(AND($K194&lt;&gt;"",$L194&lt;&gt;""),$L194,IF($F194="You",0,IF($F194="Wife",$D194,IF($F194="Shared",$D194/2,0)))))</f>
        <v/>
      </c>
    </row>
    <row r="195" ht="15" customHeight="1" s="43">
      <c r="A195" s="45" t="n"/>
      <c r="B195" s="46" t="n"/>
      <c r="C195" s="46" t="n"/>
      <c r="D195" s="47" t="n"/>
      <c r="E195" s="46" t="n"/>
      <c r="F195" s="46" t="n"/>
      <c r="G195" s="46" t="n"/>
      <c r="H195" s="46" t="n"/>
      <c r="I195" s="46">
        <f>IF($A195="","",TEXT($A195,"YYYY-MM"))</f>
        <v/>
      </c>
      <c r="J195" s="46" t="n"/>
      <c r="K195" s="48" t="n"/>
      <c r="L195" s="48" t="n"/>
      <c r="M195" s="49">
        <f>IF($A195="","",IF(AND($K195&lt;&gt;"",$L195&lt;&gt;""),$K195,IF($F195="You",$D195,IF($F195="Wife",0,IF($F195="Shared",$D195/2,0)))))</f>
        <v/>
      </c>
      <c r="N195" s="49">
        <f>IF($A195="","",IF(AND($K195&lt;&gt;"",$L195&lt;&gt;""),$L195,IF($F195="You",0,IF($F195="Wife",$D195,IF($F195="Shared",$D195/2,0)))))</f>
        <v/>
      </c>
    </row>
    <row r="196" ht="15" customHeight="1" s="43">
      <c r="A196" s="50" t="n"/>
      <c r="B196" s="51" t="n"/>
      <c r="C196" s="51" t="n"/>
      <c r="D196" s="52" t="n"/>
      <c r="E196" s="51" t="n"/>
      <c r="F196" s="51" t="n"/>
      <c r="G196" s="51" t="n"/>
      <c r="H196" s="51" t="n"/>
      <c r="I196" s="51">
        <f>IF($A196="","",TEXT($A196,"YYYY-MM"))</f>
        <v/>
      </c>
      <c r="J196" s="51" t="n"/>
      <c r="K196" s="53" t="n"/>
      <c r="L196" s="53" t="n"/>
      <c r="M196" s="54">
        <f>IF($A196="","",IF(AND($K196&lt;&gt;"",$L196&lt;&gt;""),$K196,IF($F196="You",$D196,IF($F196="Wife",0,IF($F196="Shared",$D196/2,0)))))</f>
        <v/>
      </c>
      <c r="N196" s="54">
        <f>IF($A196="","",IF(AND($K196&lt;&gt;"",$L196&lt;&gt;""),$L196,IF($F196="You",0,IF($F196="Wife",$D196,IF($F196="Shared",$D196/2,0)))))</f>
        <v/>
      </c>
    </row>
    <row r="197" ht="15" customHeight="1" s="43">
      <c r="A197" s="45" t="n"/>
      <c r="B197" s="46" t="n"/>
      <c r="C197" s="46" t="n"/>
      <c r="D197" s="47" t="n"/>
      <c r="E197" s="46" t="n"/>
      <c r="F197" s="46" t="n"/>
      <c r="G197" s="46" t="n"/>
      <c r="H197" s="46" t="n"/>
      <c r="I197" s="46">
        <f>IF($A197="","",TEXT($A197,"YYYY-MM"))</f>
        <v/>
      </c>
      <c r="J197" s="46" t="n"/>
      <c r="K197" s="48" t="n"/>
      <c r="L197" s="48" t="n"/>
      <c r="M197" s="49">
        <f>IF($A197="","",IF(AND($K197&lt;&gt;"",$L197&lt;&gt;""),$K197,IF($F197="You",$D197,IF($F197="Wife",0,IF($F197="Shared",$D197/2,0)))))</f>
        <v/>
      </c>
      <c r="N197" s="49">
        <f>IF($A197="","",IF(AND($K197&lt;&gt;"",$L197&lt;&gt;""),$L197,IF($F197="You",0,IF($F197="Wife",$D197,IF($F197="Shared",$D197/2,0)))))</f>
        <v/>
      </c>
    </row>
    <row r="198" ht="15" customHeight="1" s="43">
      <c r="A198" s="50" t="n"/>
      <c r="B198" s="51" t="n"/>
      <c r="C198" s="51" t="n"/>
      <c r="D198" s="52" t="n"/>
      <c r="E198" s="51" t="n"/>
      <c r="F198" s="51" t="n"/>
      <c r="G198" s="51" t="n"/>
      <c r="H198" s="51" t="n"/>
      <c r="I198" s="51">
        <f>IF($A198="","",TEXT($A198,"YYYY-MM"))</f>
        <v/>
      </c>
      <c r="J198" s="51" t="n"/>
      <c r="K198" s="53" t="n"/>
      <c r="L198" s="53" t="n"/>
      <c r="M198" s="54">
        <f>IF($A198="","",IF(AND($K198&lt;&gt;"",$L198&lt;&gt;""),$K198,IF($F198="You",$D198,IF($F198="Wife",0,IF($F198="Shared",$D198/2,0)))))</f>
        <v/>
      </c>
      <c r="N198" s="54">
        <f>IF($A198="","",IF(AND($K198&lt;&gt;"",$L198&lt;&gt;""),$L198,IF($F198="You",0,IF($F198="Wife",$D198,IF($F198="Shared",$D198/2,0)))))</f>
        <v/>
      </c>
    </row>
    <row r="199" ht="15" customHeight="1" s="43">
      <c r="A199" s="45" t="n"/>
      <c r="B199" s="46" t="n"/>
      <c r="C199" s="46" t="n"/>
      <c r="D199" s="47" t="n"/>
      <c r="E199" s="46" t="n"/>
      <c r="F199" s="46" t="n"/>
      <c r="G199" s="46" t="n"/>
      <c r="H199" s="46" t="n"/>
      <c r="I199" s="46">
        <f>IF($A199="","",TEXT($A199,"YYYY-MM"))</f>
        <v/>
      </c>
      <c r="J199" s="46" t="n"/>
      <c r="K199" s="48" t="n"/>
      <c r="L199" s="48" t="n"/>
      <c r="M199" s="49">
        <f>IF($A199="","",IF(AND($K199&lt;&gt;"",$L199&lt;&gt;""),$K199,IF($F199="You",$D199,IF($F199="Wife",0,IF($F199="Shared",$D199/2,0)))))</f>
        <v/>
      </c>
      <c r="N199" s="49">
        <f>IF($A199="","",IF(AND($K199&lt;&gt;"",$L199&lt;&gt;""),$L199,IF($F199="You",0,IF($F199="Wife",$D199,IF($F199="Shared",$D199/2,0)))))</f>
        <v/>
      </c>
    </row>
    <row r="200" ht="15" customHeight="1" s="43">
      <c r="A200" s="50" t="n"/>
      <c r="B200" s="51" t="n"/>
      <c r="C200" s="51" t="n"/>
      <c r="D200" s="52" t="n"/>
      <c r="E200" s="51" t="n"/>
      <c r="F200" s="51" t="n"/>
      <c r="G200" s="51" t="n"/>
      <c r="H200" s="51" t="n"/>
      <c r="I200" s="51">
        <f>IF($A200="","",TEXT($A200,"YYYY-MM"))</f>
        <v/>
      </c>
      <c r="J200" s="51" t="n"/>
      <c r="K200" s="53" t="n"/>
      <c r="L200" s="53" t="n"/>
      <c r="M200" s="54">
        <f>IF($A200="","",IF(AND($K200&lt;&gt;"",$L200&lt;&gt;""),$K200,IF($F200="You",$D200,IF($F200="Wife",0,IF($F200="Shared",$D200/2,0)))))</f>
        <v/>
      </c>
      <c r="N200" s="54">
        <f>IF($A200="","",IF(AND($K200&lt;&gt;"",$L200&lt;&gt;""),$L200,IF($F200="You",0,IF($F200="Wife",$D200,IF($F200="Shared",$D200/2,0)))))</f>
        <v/>
      </c>
    </row>
    <row r="201" ht="15" customHeight="1" s="43">
      <c r="A201" s="45" t="n"/>
      <c r="B201" s="46" t="n"/>
      <c r="C201" s="46" t="n"/>
      <c r="D201" s="47" t="n"/>
      <c r="E201" s="46" t="n"/>
      <c r="F201" s="46" t="n"/>
      <c r="G201" s="46" t="n"/>
      <c r="H201" s="46" t="n"/>
      <c r="I201" s="46">
        <f>IF($A201="","",TEXT($A201,"YYYY-MM"))</f>
        <v/>
      </c>
      <c r="J201" s="46" t="n"/>
      <c r="K201" s="48" t="n"/>
      <c r="L201" s="48" t="n"/>
      <c r="M201" s="49">
        <f>IF($A201="","",IF(AND($K201&lt;&gt;"",$L201&lt;&gt;""),$K201,IF($F201="You",$D201,IF($F201="Wife",0,IF($F201="Shared",$D201/2,0)))))</f>
        <v/>
      </c>
      <c r="N201" s="49">
        <f>IF($A201="","",IF(AND($K201&lt;&gt;"",$L201&lt;&gt;""),$L201,IF($F201="You",0,IF($F201="Wife",$D201,IF($F201="Shared",$D201/2,0)))))</f>
        <v/>
      </c>
    </row>
    <row r="202" ht="15" customHeight="1" s="43">
      <c r="A202" s="50" t="n"/>
      <c r="B202" s="51" t="n"/>
      <c r="C202" s="51" t="n"/>
      <c r="D202" s="52" t="n"/>
      <c r="E202" s="51" t="n"/>
      <c r="F202" s="51" t="n"/>
      <c r="G202" s="51" t="n"/>
      <c r="H202" s="51" t="n"/>
      <c r="I202" s="51">
        <f>IF($A202="","",TEXT($A202,"YYYY-MM"))</f>
        <v/>
      </c>
      <c r="J202" s="51" t="n"/>
      <c r="K202" s="53" t="n"/>
      <c r="L202" s="53" t="n"/>
      <c r="M202" s="54">
        <f>IF($A202="","",IF(AND($K202&lt;&gt;"",$L202&lt;&gt;""),$K202,IF($F202="You",$D202,IF($F202="Wife",0,IF($F202="Shared",$D202/2,0)))))</f>
        <v/>
      </c>
      <c r="N202" s="54">
        <f>IF($A202="","",IF(AND($K202&lt;&gt;"",$L202&lt;&gt;""),$L202,IF($F202="You",0,IF($F202="Wife",$D202,IF($F202="Shared",$D202/2,0)))))</f>
        <v/>
      </c>
    </row>
    <row r="203" ht="15" customHeight="1" s="43">
      <c r="A203" s="45" t="n"/>
      <c r="B203" s="46" t="n"/>
      <c r="C203" s="46" t="n"/>
      <c r="D203" s="47" t="n"/>
      <c r="E203" s="46" t="n"/>
      <c r="F203" s="46" t="n"/>
      <c r="G203" s="46" t="n"/>
      <c r="H203" s="46" t="n"/>
      <c r="I203" s="46">
        <f>IF($A203="","",TEXT($A203,"YYYY-MM"))</f>
        <v/>
      </c>
      <c r="J203" s="46" t="n"/>
      <c r="K203" s="48" t="n"/>
      <c r="L203" s="48" t="n"/>
      <c r="M203" s="49">
        <f>IF($A203="","",IF(AND($K203&lt;&gt;"",$L203&lt;&gt;""),$K203,IF($F203="You",$D203,IF($F203="Wife",0,IF($F203="Shared",$D203/2,0)))))</f>
        <v/>
      </c>
      <c r="N203" s="49">
        <f>IF($A203="","",IF(AND($K203&lt;&gt;"",$L203&lt;&gt;""),$L203,IF($F203="You",0,IF($F203="Wife",$D203,IF($F203="Shared",$D203/2,0)))))</f>
        <v/>
      </c>
    </row>
    <row r="204" ht="15" customHeight="1" s="43">
      <c r="A204" s="50" t="n"/>
      <c r="B204" s="51" t="n"/>
      <c r="C204" s="51" t="n"/>
      <c r="D204" s="52" t="n"/>
      <c r="E204" s="51" t="n"/>
      <c r="F204" s="51" t="n"/>
      <c r="G204" s="51" t="n"/>
      <c r="H204" s="51" t="n"/>
      <c r="I204" s="51">
        <f>IF($A204="","",TEXT($A204,"YYYY-MM"))</f>
        <v/>
      </c>
      <c r="J204" s="51" t="n"/>
      <c r="K204" s="53" t="n"/>
      <c r="L204" s="53" t="n"/>
      <c r="M204" s="54">
        <f>IF($A204="","",IF(AND($K204&lt;&gt;"",$L204&lt;&gt;""),$K204,IF($F204="You",$D204,IF($F204="Wife",0,IF($F204="Shared",$D204/2,0)))))</f>
        <v/>
      </c>
      <c r="N204" s="54">
        <f>IF($A204="","",IF(AND($K204&lt;&gt;"",$L204&lt;&gt;""),$L204,IF($F204="You",0,IF($F204="Wife",$D204,IF($F204="Shared",$D204/2,0)))))</f>
        <v/>
      </c>
    </row>
    <row r="205" ht="15" customHeight="1" s="43">
      <c r="A205" s="45" t="n"/>
      <c r="B205" s="46" t="n"/>
      <c r="C205" s="46" t="n"/>
      <c r="D205" s="47" t="n"/>
      <c r="E205" s="46" t="n"/>
      <c r="F205" s="46" t="n"/>
      <c r="G205" s="46" t="n"/>
      <c r="H205" s="46" t="n"/>
      <c r="I205" s="46">
        <f>IF($A205="","",TEXT($A205,"YYYY-MM"))</f>
        <v/>
      </c>
      <c r="J205" s="46" t="n"/>
      <c r="K205" s="48" t="n"/>
      <c r="L205" s="48" t="n"/>
      <c r="M205" s="49">
        <f>IF($A205="","",IF(AND($K205&lt;&gt;"",$L205&lt;&gt;""),$K205,IF($F205="You",$D205,IF($F205="Wife",0,IF($F205="Shared",$D205/2,0)))))</f>
        <v/>
      </c>
      <c r="N205" s="49">
        <f>IF($A205="","",IF(AND($K205&lt;&gt;"",$L205&lt;&gt;""),$L205,IF($F205="You",0,IF($F205="Wife",$D205,IF($F205="Shared",$D205/2,0)))))</f>
        <v/>
      </c>
    </row>
    <row r="206" ht="15" customHeight="1" s="43">
      <c r="A206" s="50" t="n"/>
      <c r="B206" s="51" t="n"/>
      <c r="C206" s="51" t="n"/>
      <c r="D206" s="52" t="n"/>
      <c r="E206" s="51" t="n"/>
      <c r="F206" s="51" t="n"/>
      <c r="G206" s="51" t="n"/>
      <c r="H206" s="51" t="n"/>
      <c r="I206" s="51">
        <f>IF($A206="","",TEXT($A206,"YYYY-MM"))</f>
        <v/>
      </c>
      <c r="J206" s="51" t="n"/>
      <c r="K206" s="53" t="n"/>
      <c r="L206" s="53" t="n"/>
      <c r="M206" s="54">
        <f>IF($A206="","",IF(AND($K206&lt;&gt;"",$L206&lt;&gt;""),$K206,IF($F206="You",$D206,IF($F206="Wife",0,IF($F206="Shared",$D206/2,0)))))</f>
        <v/>
      </c>
      <c r="N206" s="54">
        <f>IF($A206="","",IF(AND($K206&lt;&gt;"",$L206&lt;&gt;""),$L206,IF($F206="You",0,IF($F206="Wife",$D206,IF($F206="Shared",$D206/2,0)))))</f>
        <v/>
      </c>
    </row>
    <row r="207" ht="15" customHeight="1" s="43">
      <c r="A207" s="45" t="n"/>
      <c r="B207" s="46" t="n"/>
      <c r="C207" s="46" t="n"/>
      <c r="D207" s="47" t="n"/>
      <c r="E207" s="46" t="n"/>
      <c r="F207" s="46" t="n"/>
      <c r="G207" s="46" t="n"/>
      <c r="H207" s="46" t="n"/>
      <c r="I207" s="46">
        <f>IF($A207="","",TEXT($A207,"YYYY-MM"))</f>
        <v/>
      </c>
      <c r="J207" s="46" t="n"/>
      <c r="K207" s="48" t="n"/>
      <c r="L207" s="48" t="n"/>
      <c r="M207" s="49">
        <f>IF($A207="","",IF(AND($K207&lt;&gt;"",$L207&lt;&gt;""),$K207,IF($F207="You",$D207,IF($F207="Wife",0,IF($F207="Shared",$D207/2,0)))))</f>
        <v/>
      </c>
      <c r="N207" s="49">
        <f>IF($A207="","",IF(AND($K207&lt;&gt;"",$L207&lt;&gt;""),$L207,IF($F207="You",0,IF($F207="Wife",$D207,IF($F207="Shared",$D207/2,0)))))</f>
        <v/>
      </c>
    </row>
    <row r="208" ht="15" customHeight="1" s="43">
      <c r="A208" s="50" t="n"/>
      <c r="B208" s="51" t="n"/>
      <c r="C208" s="51" t="n"/>
      <c r="D208" s="52" t="n"/>
      <c r="E208" s="51" t="n"/>
      <c r="F208" s="51" t="n"/>
      <c r="G208" s="51" t="n"/>
      <c r="H208" s="51" t="n"/>
      <c r="I208" s="51">
        <f>IF($A208="","",TEXT($A208,"YYYY-MM"))</f>
        <v/>
      </c>
      <c r="J208" s="51" t="n"/>
      <c r="K208" s="53" t="n"/>
      <c r="L208" s="53" t="n"/>
      <c r="M208" s="54">
        <f>IF($A208="","",IF(AND($K208&lt;&gt;"",$L208&lt;&gt;""),$K208,IF($F208="You",$D208,IF($F208="Wife",0,IF($F208="Shared",$D208/2,0)))))</f>
        <v/>
      </c>
      <c r="N208" s="54">
        <f>IF($A208="","",IF(AND($K208&lt;&gt;"",$L208&lt;&gt;""),$L208,IF($F208="You",0,IF($F208="Wife",$D208,IF($F208="Shared",$D208/2,0)))))</f>
        <v/>
      </c>
    </row>
    <row r="209" ht="15" customHeight="1" s="43">
      <c r="A209" s="45" t="n"/>
      <c r="B209" s="46" t="n"/>
      <c r="C209" s="46" t="n"/>
      <c r="D209" s="47" t="n"/>
      <c r="E209" s="46" t="n"/>
      <c r="F209" s="46" t="n"/>
      <c r="G209" s="46" t="n"/>
      <c r="H209" s="46" t="n"/>
      <c r="I209" s="46">
        <f>IF($A209="","",TEXT($A209,"YYYY-MM"))</f>
        <v/>
      </c>
      <c r="J209" s="46" t="n"/>
      <c r="K209" s="48" t="n"/>
      <c r="L209" s="48" t="n"/>
      <c r="M209" s="49">
        <f>IF($A209="","",IF(AND($K209&lt;&gt;"",$L209&lt;&gt;""),$K209,IF($F209="You",$D209,IF($F209="Wife",0,IF($F209="Shared",$D209/2,0)))))</f>
        <v/>
      </c>
      <c r="N209" s="49">
        <f>IF($A209="","",IF(AND($K209&lt;&gt;"",$L209&lt;&gt;""),$L209,IF($F209="You",0,IF($F209="Wife",$D209,IF($F209="Shared",$D209/2,0)))))</f>
        <v/>
      </c>
    </row>
    <row r="210" ht="15" customHeight="1" s="43">
      <c r="A210" s="50" t="n"/>
      <c r="B210" s="51" t="n"/>
      <c r="C210" s="51" t="n"/>
      <c r="D210" s="52" t="n"/>
      <c r="E210" s="51" t="n"/>
      <c r="F210" s="51" t="n"/>
      <c r="G210" s="51" t="n"/>
      <c r="H210" s="51" t="n"/>
      <c r="I210" s="51">
        <f>IF($A210="","",TEXT($A210,"YYYY-MM"))</f>
        <v/>
      </c>
      <c r="J210" s="51" t="n"/>
      <c r="K210" s="53" t="n"/>
      <c r="L210" s="53" t="n"/>
      <c r="M210" s="54">
        <f>IF($A210="","",IF(AND($K210&lt;&gt;"",$L210&lt;&gt;""),$K210,IF($F210="You",$D210,IF($F210="Wife",0,IF($F210="Shared",$D210/2,0)))))</f>
        <v/>
      </c>
      <c r="N210" s="54">
        <f>IF($A210="","",IF(AND($K210&lt;&gt;"",$L210&lt;&gt;""),$L210,IF($F210="You",0,IF($F210="Wife",$D210,IF($F210="Shared",$D210/2,0)))))</f>
        <v/>
      </c>
    </row>
    <row r="211" ht="15" customHeight="1" s="43">
      <c r="A211" s="45" t="n"/>
      <c r="B211" s="46" t="n"/>
      <c r="C211" s="46" t="n"/>
      <c r="D211" s="47" t="n"/>
      <c r="E211" s="46" t="n"/>
      <c r="F211" s="46" t="n"/>
      <c r="G211" s="46" t="n"/>
      <c r="H211" s="46" t="n"/>
      <c r="I211" s="46">
        <f>IF($A211="","",TEXT($A211,"YYYY-MM"))</f>
        <v/>
      </c>
      <c r="J211" s="46" t="n"/>
      <c r="K211" s="48" t="n"/>
      <c r="L211" s="48" t="n"/>
      <c r="M211" s="49">
        <f>IF($A211="","",IF(AND($K211&lt;&gt;"",$L211&lt;&gt;""),$K211,IF($F211="You",$D211,IF($F211="Wife",0,IF($F211="Shared",$D211/2,0)))))</f>
        <v/>
      </c>
      <c r="N211" s="49">
        <f>IF($A211="","",IF(AND($K211&lt;&gt;"",$L211&lt;&gt;""),$L211,IF($F211="You",0,IF($F211="Wife",$D211,IF($F211="Shared",$D211/2,0)))))</f>
        <v/>
      </c>
    </row>
    <row r="212" ht="15" customHeight="1" s="43">
      <c r="A212" s="50" t="n"/>
      <c r="B212" s="51" t="n"/>
      <c r="C212" s="51" t="n"/>
      <c r="D212" s="52" t="n"/>
      <c r="E212" s="51" t="n"/>
      <c r="F212" s="51" t="n"/>
      <c r="G212" s="51" t="n"/>
      <c r="H212" s="51" t="n"/>
      <c r="I212" s="51">
        <f>IF($A212="","",TEXT($A212,"YYYY-MM"))</f>
        <v/>
      </c>
      <c r="J212" s="51" t="n"/>
      <c r="K212" s="53" t="n"/>
      <c r="L212" s="53" t="n"/>
      <c r="M212" s="54">
        <f>IF($A212="","",IF(AND($K212&lt;&gt;"",$L212&lt;&gt;""),$K212,IF($F212="You",$D212,IF($F212="Wife",0,IF($F212="Shared",$D212/2,0)))))</f>
        <v/>
      </c>
      <c r="N212" s="54">
        <f>IF($A212="","",IF(AND($K212&lt;&gt;"",$L212&lt;&gt;""),$L212,IF($F212="You",0,IF($F212="Wife",$D212,IF($F212="Shared",$D212/2,0)))))</f>
        <v/>
      </c>
    </row>
    <row r="213" ht="15" customHeight="1" s="43">
      <c r="A213" s="45" t="n"/>
      <c r="B213" s="46" t="n"/>
      <c r="C213" s="46" t="n"/>
      <c r="D213" s="47" t="n"/>
      <c r="E213" s="46" t="n"/>
      <c r="F213" s="46" t="n"/>
      <c r="G213" s="46" t="n"/>
      <c r="H213" s="46" t="n"/>
      <c r="I213" s="46">
        <f>IF($A213="","",TEXT($A213,"YYYY-MM"))</f>
        <v/>
      </c>
      <c r="J213" s="46" t="n"/>
      <c r="K213" s="48" t="n"/>
      <c r="L213" s="48" t="n"/>
      <c r="M213" s="49">
        <f>IF($A213="","",IF(AND($K213&lt;&gt;"",$L213&lt;&gt;""),$K213,IF($F213="You",$D213,IF($F213="Wife",0,IF($F213="Shared",$D213/2,0)))))</f>
        <v/>
      </c>
      <c r="N213" s="49">
        <f>IF($A213="","",IF(AND($K213&lt;&gt;"",$L213&lt;&gt;""),$L213,IF($F213="You",0,IF($F213="Wife",$D213,IF($F213="Shared",$D213/2,0)))))</f>
        <v/>
      </c>
    </row>
    <row r="214" ht="15" customHeight="1" s="43">
      <c r="A214" s="50" t="n"/>
      <c r="B214" s="51" t="n"/>
      <c r="C214" s="51" t="n"/>
      <c r="D214" s="52" t="n"/>
      <c r="E214" s="51" t="n"/>
      <c r="F214" s="51" t="n"/>
      <c r="G214" s="51" t="n"/>
      <c r="H214" s="51" t="n"/>
      <c r="I214" s="51">
        <f>IF($A214="","",TEXT($A214,"YYYY-MM"))</f>
        <v/>
      </c>
      <c r="J214" s="51" t="n"/>
      <c r="K214" s="53" t="n"/>
      <c r="L214" s="53" t="n"/>
      <c r="M214" s="54">
        <f>IF($A214="","",IF(AND($K214&lt;&gt;"",$L214&lt;&gt;""),$K214,IF($F214="You",$D214,IF($F214="Wife",0,IF($F214="Shared",$D214/2,0)))))</f>
        <v/>
      </c>
      <c r="N214" s="54">
        <f>IF($A214="","",IF(AND($K214&lt;&gt;"",$L214&lt;&gt;""),$L214,IF($F214="You",0,IF($F214="Wife",$D214,IF($F214="Shared",$D214/2,0)))))</f>
        <v/>
      </c>
    </row>
    <row r="215" ht="15" customHeight="1" s="43">
      <c r="A215" s="45" t="n"/>
      <c r="B215" s="46" t="n"/>
      <c r="C215" s="46" t="n"/>
      <c r="D215" s="47" t="n"/>
      <c r="E215" s="46" t="n"/>
      <c r="F215" s="46" t="n"/>
      <c r="G215" s="46" t="n"/>
      <c r="H215" s="46" t="n"/>
      <c r="I215" s="46">
        <f>IF($A215="","",TEXT($A215,"YYYY-MM"))</f>
        <v/>
      </c>
      <c r="J215" s="46" t="n"/>
      <c r="K215" s="48" t="n"/>
      <c r="L215" s="48" t="n"/>
      <c r="M215" s="49">
        <f>IF($A215="","",IF(AND($K215&lt;&gt;"",$L215&lt;&gt;""),$K215,IF($F215="You",$D215,IF($F215="Wife",0,IF($F215="Shared",$D215/2,0)))))</f>
        <v/>
      </c>
      <c r="N215" s="49">
        <f>IF($A215="","",IF(AND($K215&lt;&gt;"",$L215&lt;&gt;""),$L215,IF($F215="You",0,IF($F215="Wife",$D215,IF($F215="Shared",$D215/2,0)))))</f>
        <v/>
      </c>
    </row>
    <row r="216" ht="15" customHeight="1" s="43">
      <c r="A216" s="50" t="n"/>
      <c r="B216" s="51" t="n"/>
      <c r="C216" s="51" t="n"/>
      <c r="D216" s="52" t="n"/>
      <c r="E216" s="51" t="n"/>
      <c r="F216" s="51" t="n"/>
      <c r="G216" s="51" t="n"/>
      <c r="H216" s="51" t="n"/>
      <c r="I216" s="51">
        <f>IF($A216="","",TEXT($A216,"YYYY-MM"))</f>
        <v/>
      </c>
      <c r="J216" s="51" t="n"/>
      <c r="K216" s="53" t="n"/>
      <c r="L216" s="53" t="n"/>
      <c r="M216" s="54">
        <f>IF($A216="","",IF(AND($K216&lt;&gt;"",$L216&lt;&gt;""),$K216,IF($F216="You",$D216,IF($F216="Wife",0,IF($F216="Shared",$D216/2,0)))))</f>
        <v/>
      </c>
      <c r="N216" s="54">
        <f>IF($A216="","",IF(AND($K216&lt;&gt;"",$L216&lt;&gt;""),$L216,IF($F216="You",0,IF($F216="Wife",$D216,IF($F216="Shared",$D216/2,0)))))</f>
        <v/>
      </c>
    </row>
    <row r="217" ht="15" customHeight="1" s="43">
      <c r="A217" s="45" t="n"/>
      <c r="B217" s="46" t="n"/>
      <c r="C217" s="46" t="n"/>
      <c r="D217" s="47" t="n"/>
      <c r="E217" s="46" t="n"/>
      <c r="F217" s="46" t="n"/>
      <c r="G217" s="46" t="n"/>
      <c r="H217" s="46" t="n"/>
      <c r="I217" s="46">
        <f>IF($A217="","",TEXT($A217,"YYYY-MM"))</f>
        <v/>
      </c>
      <c r="J217" s="46" t="n"/>
      <c r="K217" s="48" t="n"/>
      <c r="L217" s="48" t="n"/>
      <c r="M217" s="49">
        <f>IF($A217="","",IF(AND($K217&lt;&gt;"",$L217&lt;&gt;""),$K217,IF($F217="You",$D217,IF($F217="Wife",0,IF($F217="Shared",$D217/2,0)))))</f>
        <v/>
      </c>
      <c r="N217" s="49">
        <f>IF($A217="","",IF(AND($K217&lt;&gt;"",$L217&lt;&gt;""),$L217,IF($F217="You",0,IF($F217="Wife",$D217,IF($F217="Shared",$D217/2,0)))))</f>
        <v/>
      </c>
    </row>
    <row r="218" ht="15" customHeight="1" s="43">
      <c r="A218" s="50" t="n"/>
      <c r="B218" s="51" t="n"/>
      <c r="C218" s="51" t="n"/>
      <c r="D218" s="52" t="n"/>
      <c r="E218" s="51" t="n"/>
      <c r="F218" s="51" t="n"/>
      <c r="G218" s="51" t="n"/>
      <c r="H218" s="51" t="n"/>
      <c r="I218" s="51">
        <f>IF($A218="","",TEXT($A218,"YYYY-MM"))</f>
        <v/>
      </c>
      <c r="J218" s="51" t="n"/>
      <c r="K218" s="53" t="n"/>
      <c r="L218" s="53" t="n"/>
      <c r="M218" s="54">
        <f>IF($A218="","",IF(AND($K218&lt;&gt;"",$L218&lt;&gt;""),$K218,IF($F218="You",$D218,IF($F218="Wife",0,IF($F218="Shared",$D218/2,0)))))</f>
        <v/>
      </c>
      <c r="N218" s="54">
        <f>IF($A218="","",IF(AND($K218&lt;&gt;"",$L218&lt;&gt;""),$L218,IF($F218="You",0,IF($F218="Wife",$D218,IF($F218="Shared",$D218/2,0)))))</f>
        <v/>
      </c>
    </row>
    <row r="219" ht="15" customHeight="1" s="43">
      <c r="A219" s="45" t="n"/>
      <c r="B219" s="46" t="n"/>
      <c r="C219" s="46" t="n"/>
      <c r="D219" s="47" t="n"/>
      <c r="E219" s="46" t="n"/>
      <c r="F219" s="46" t="n"/>
      <c r="G219" s="46" t="n"/>
      <c r="H219" s="46" t="n"/>
      <c r="I219" s="46">
        <f>IF($A219="","",TEXT($A219,"YYYY-MM"))</f>
        <v/>
      </c>
      <c r="J219" s="46" t="n"/>
      <c r="K219" s="48" t="n"/>
      <c r="L219" s="48" t="n"/>
      <c r="M219" s="49">
        <f>IF($A219="","",IF(AND($K219&lt;&gt;"",$L219&lt;&gt;""),$K219,IF($F219="You",$D219,IF($F219="Wife",0,IF($F219="Shared",$D219/2,0)))))</f>
        <v/>
      </c>
      <c r="N219" s="49">
        <f>IF($A219="","",IF(AND($K219&lt;&gt;"",$L219&lt;&gt;""),$L219,IF($F219="You",0,IF($F219="Wife",$D219,IF($F219="Shared",$D219/2,0)))))</f>
        <v/>
      </c>
    </row>
    <row r="220" ht="15" customHeight="1" s="43">
      <c r="A220" s="50" t="n"/>
      <c r="B220" s="51" t="n"/>
      <c r="C220" s="51" t="n"/>
      <c r="D220" s="52" t="n"/>
      <c r="E220" s="51" t="n"/>
      <c r="F220" s="51" t="n"/>
      <c r="G220" s="51" t="n"/>
      <c r="H220" s="51" t="n"/>
      <c r="I220" s="51">
        <f>IF($A220="","",TEXT($A220,"YYYY-MM"))</f>
        <v/>
      </c>
      <c r="J220" s="51" t="n"/>
      <c r="K220" s="53" t="n"/>
      <c r="L220" s="53" t="n"/>
      <c r="M220" s="54">
        <f>IF($A220="","",IF(AND($K220&lt;&gt;"",$L220&lt;&gt;""),$K220,IF($F220="You",$D220,IF($F220="Wife",0,IF($F220="Shared",$D220/2,0)))))</f>
        <v/>
      </c>
      <c r="N220" s="54">
        <f>IF($A220="","",IF(AND($K220&lt;&gt;"",$L220&lt;&gt;""),$L220,IF($F220="You",0,IF($F220="Wife",$D220,IF($F220="Shared",$D220/2,0)))))</f>
        <v/>
      </c>
    </row>
    <row r="221" ht="15" customHeight="1" s="43">
      <c r="A221" s="45" t="n"/>
      <c r="B221" s="46" t="n"/>
      <c r="C221" s="46" t="n"/>
      <c r="D221" s="47" t="n"/>
      <c r="E221" s="46" t="n"/>
      <c r="F221" s="46" t="n"/>
      <c r="G221" s="46" t="n"/>
      <c r="H221" s="46" t="n"/>
      <c r="I221" s="46">
        <f>IF($A221="","",TEXT($A221,"YYYY-MM"))</f>
        <v/>
      </c>
      <c r="J221" s="46" t="n"/>
      <c r="K221" s="48" t="n"/>
      <c r="L221" s="48" t="n"/>
      <c r="M221" s="49">
        <f>IF($A221="","",IF(AND($K221&lt;&gt;"",$L221&lt;&gt;""),$K221,IF($F221="You",$D221,IF($F221="Wife",0,IF($F221="Shared",$D221/2,0)))))</f>
        <v/>
      </c>
      <c r="N221" s="49">
        <f>IF($A221="","",IF(AND($K221&lt;&gt;"",$L221&lt;&gt;""),$L221,IF($F221="You",0,IF($F221="Wife",$D221,IF($F221="Shared",$D221/2,0)))))</f>
        <v/>
      </c>
    </row>
    <row r="222" ht="15" customHeight="1" s="43">
      <c r="A222" s="50" t="n"/>
      <c r="B222" s="51" t="n"/>
      <c r="C222" s="51" t="n"/>
      <c r="D222" s="52" t="n"/>
      <c r="E222" s="51" t="n"/>
      <c r="F222" s="51" t="n"/>
      <c r="G222" s="51" t="n"/>
      <c r="H222" s="51" t="n"/>
      <c r="I222" s="51">
        <f>IF($A222="","",TEXT($A222,"YYYY-MM"))</f>
        <v/>
      </c>
      <c r="J222" s="51" t="n"/>
      <c r="K222" s="53" t="n"/>
      <c r="L222" s="53" t="n"/>
      <c r="M222" s="54">
        <f>IF($A222="","",IF(AND($K222&lt;&gt;"",$L222&lt;&gt;""),$K222,IF($F222="You",$D222,IF($F222="Wife",0,IF($F222="Shared",$D222/2,0)))))</f>
        <v/>
      </c>
      <c r="N222" s="54">
        <f>IF($A222="","",IF(AND($K222&lt;&gt;"",$L222&lt;&gt;""),$L222,IF($F222="You",0,IF($F222="Wife",$D222,IF($F222="Shared",$D222/2,0)))))</f>
        <v/>
      </c>
    </row>
    <row r="223" ht="15" customHeight="1" s="43">
      <c r="A223" s="45" t="n"/>
      <c r="B223" s="46" t="n"/>
      <c r="C223" s="46" t="n"/>
      <c r="D223" s="47" t="n"/>
      <c r="E223" s="46" t="n"/>
      <c r="F223" s="46" t="n"/>
      <c r="G223" s="46" t="n"/>
      <c r="H223" s="46" t="n"/>
      <c r="I223" s="46">
        <f>IF($A223="","",TEXT($A223,"YYYY-MM"))</f>
        <v/>
      </c>
      <c r="J223" s="46" t="n"/>
      <c r="K223" s="48" t="n"/>
      <c r="L223" s="48" t="n"/>
      <c r="M223" s="49">
        <f>IF($A223="","",IF(AND($K223&lt;&gt;"",$L223&lt;&gt;""),$K223,IF($F223="You",$D223,IF($F223="Wife",0,IF($F223="Shared",$D223/2,0)))))</f>
        <v/>
      </c>
      <c r="N223" s="49">
        <f>IF($A223="","",IF(AND($K223&lt;&gt;"",$L223&lt;&gt;""),$L223,IF($F223="You",0,IF($F223="Wife",$D223,IF($F223="Shared",$D223/2,0)))))</f>
        <v/>
      </c>
    </row>
    <row r="224" ht="15" customHeight="1" s="43">
      <c r="A224" s="50" t="n"/>
      <c r="B224" s="51" t="n"/>
      <c r="C224" s="51" t="n"/>
      <c r="D224" s="52" t="n"/>
      <c r="E224" s="51" t="n"/>
      <c r="F224" s="51" t="n"/>
      <c r="G224" s="51" t="n"/>
      <c r="H224" s="51" t="n"/>
      <c r="I224" s="51">
        <f>IF($A224="","",TEXT($A224,"YYYY-MM"))</f>
        <v/>
      </c>
      <c r="J224" s="51" t="n"/>
      <c r="K224" s="53" t="n"/>
      <c r="L224" s="53" t="n"/>
      <c r="M224" s="54">
        <f>IF($A224="","",IF(AND($K224&lt;&gt;"",$L224&lt;&gt;""),$K224,IF($F224="You",$D224,IF($F224="Wife",0,IF($F224="Shared",$D224/2,0)))))</f>
        <v/>
      </c>
      <c r="N224" s="54">
        <f>IF($A224="","",IF(AND($K224&lt;&gt;"",$L224&lt;&gt;""),$L224,IF($F224="You",0,IF($F224="Wife",$D224,IF($F224="Shared",$D224/2,0)))))</f>
        <v/>
      </c>
    </row>
    <row r="225" ht="15" customHeight="1" s="43">
      <c r="A225" s="45" t="n"/>
      <c r="B225" s="46" t="n"/>
      <c r="C225" s="46" t="n"/>
      <c r="D225" s="47" t="n"/>
      <c r="E225" s="46" t="n"/>
      <c r="F225" s="46" t="n"/>
      <c r="G225" s="46" t="n"/>
      <c r="H225" s="46" t="n"/>
      <c r="I225" s="46">
        <f>IF($A225="","",TEXT($A225,"YYYY-MM"))</f>
        <v/>
      </c>
      <c r="J225" s="46" t="n"/>
      <c r="K225" s="48" t="n"/>
      <c r="L225" s="48" t="n"/>
      <c r="M225" s="49">
        <f>IF($A225="","",IF(AND($K225&lt;&gt;"",$L225&lt;&gt;""),$K225,IF($F225="You",$D225,IF($F225="Wife",0,IF($F225="Shared",$D225/2,0)))))</f>
        <v/>
      </c>
      <c r="N225" s="49">
        <f>IF($A225="","",IF(AND($K225&lt;&gt;"",$L225&lt;&gt;""),$L225,IF($F225="You",0,IF($F225="Wife",$D225,IF($F225="Shared",$D225/2,0)))))</f>
        <v/>
      </c>
    </row>
    <row r="226" ht="15" customHeight="1" s="43">
      <c r="A226" s="50" t="n"/>
      <c r="B226" s="51" t="n"/>
      <c r="C226" s="51" t="n"/>
      <c r="D226" s="52" t="n"/>
      <c r="E226" s="51" t="n"/>
      <c r="F226" s="51" t="n"/>
      <c r="G226" s="51" t="n"/>
      <c r="H226" s="51" t="n"/>
      <c r="I226" s="51">
        <f>IF($A226="","",TEXT($A226,"YYYY-MM"))</f>
        <v/>
      </c>
      <c r="J226" s="51" t="n"/>
      <c r="K226" s="53" t="n"/>
      <c r="L226" s="53" t="n"/>
      <c r="M226" s="54">
        <f>IF($A226="","",IF(AND($K226&lt;&gt;"",$L226&lt;&gt;""),$K226,IF($F226="You",$D226,IF($F226="Wife",0,IF($F226="Shared",$D226/2,0)))))</f>
        <v/>
      </c>
      <c r="N226" s="54">
        <f>IF($A226="","",IF(AND($K226&lt;&gt;"",$L226&lt;&gt;""),$L226,IF($F226="You",0,IF($F226="Wife",$D226,IF($F226="Shared",$D226/2,0)))))</f>
        <v/>
      </c>
    </row>
    <row r="227" ht="15" customHeight="1" s="43">
      <c r="A227" s="45" t="n"/>
      <c r="B227" s="46" t="n"/>
      <c r="C227" s="46" t="n"/>
      <c r="D227" s="47" t="n"/>
      <c r="E227" s="46" t="n"/>
      <c r="F227" s="46" t="n"/>
      <c r="G227" s="46" t="n"/>
      <c r="H227" s="46" t="n"/>
      <c r="I227" s="46">
        <f>IF($A227="","",TEXT($A227,"YYYY-MM"))</f>
        <v/>
      </c>
      <c r="J227" s="46" t="n"/>
      <c r="K227" s="48" t="n"/>
      <c r="L227" s="48" t="n"/>
      <c r="M227" s="49">
        <f>IF($A227="","",IF(AND($K227&lt;&gt;"",$L227&lt;&gt;""),$K227,IF($F227="You",$D227,IF($F227="Wife",0,IF($F227="Shared",$D227/2,0)))))</f>
        <v/>
      </c>
      <c r="N227" s="49">
        <f>IF($A227="","",IF(AND($K227&lt;&gt;"",$L227&lt;&gt;""),$L227,IF($F227="You",0,IF($F227="Wife",$D227,IF($F227="Shared",$D227/2,0)))))</f>
        <v/>
      </c>
    </row>
    <row r="228" ht="15" customHeight="1" s="43">
      <c r="A228" s="50" t="n"/>
      <c r="B228" s="51" t="n"/>
      <c r="C228" s="51" t="n"/>
      <c r="D228" s="52" t="n"/>
      <c r="E228" s="51" t="n"/>
      <c r="F228" s="51" t="n"/>
      <c r="G228" s="51" t="n"/>
      <c r="H228" s="51" t="n"/>
      <c r="I228" s="51">
        <f>IF($A228="","",TEXT($A228,"YYYY-MM"))</f>
        <v/>
      </c>
      <c r="J228" s="51" t="n"/>
      <c r="K228" s="53" t="n"/>
      <c r="L228" s="53" t="n"/>
      <c r="M228" s="54">
        <f>IF($A228="","",IF(AND($K228&lt;&gt;"",$L228&lt;&gt;""),$K228,IF($F228="You",$D228,IF($F228="Wife",0,IF($F228="Shared",$D228/2,0)))))</f>
        <v/>
      </c>
      <c r="N228" s="54">
        <f>IF($A228="","",IF(AND($K228&lt;&gt;"",$L228&lt;&gt;""),$L228,IF($F228="You",0,IF($F228="Wife",$D228,IF($F228="Shared",$D228/2,0)))))</f>
        <v/>
      </c>
    </row>
    <row r="229" ht="15" customHeight="1" s="43">
      <c r="A229" s="45" t="n"/>
      <c r="B229" s="46" t="n"/>
      <c r="C229" s="46" t="n"/>
      <c r="D229" s="47" t="n"/>
      <c r="E229" s="46" t="n"/>
      <c r="F229" s="46" t="n"/>
      <c r="G229" s="46" t="n"/>
      <c r="H229" s="46" t="n"/>
      <c r="I229" s="46">
        <f>IF($A229="","",TEXT($A229,"YYYY-MM"))</f>
        <v/>
      </c>
      <c r="J229" s="46" t="n"/>
      <c r="K229" s="48" t="n"/>
      <c r="L229" s="48" t="n"/>
      <c r="M229" s="49">
        <f>IF($A229="","",IF(AND($K229&lt;&gt;"",$L229&lt;&gt;""),$K229,IF($F229="You",$D229,IF($F229="Wife",0,IF($F229="Shared",$D229/2,0)))))</f>
        <v/>
      </c>
      <c r="N229" s="49">
        <f>IF($A229="","",IF(AND($K229&lt;&gt;"",$L229&lt;&gt;""),$L229,IF($F229="You",0,IF($F229="Wife",$D229,IF($F229="Shared",$D229/2,0)))))</f>
        <v/>
      </c>
    </row>
    <row r="230" ht="15" customHeight="1" s="43">
      <c r="A230" s="50" t="n"/>
      <c r="B230" s="51" t="n"/>
      <c r="C230" s="51" t="n"/>
      <c r="D230" s="52" t="n"/>
      <c r="E230" s="51" t="n"/>
      <c r="F230" s="51" t="n"/>
      <c r="G230" s="51" t="n"/>
      <c r="H230" s="51" t="n"/>
      <c r="I230" s="51">
        <f>IF($A230="","",TEXT($A230,"YYYY-MM"))</f>
        <v/>
      </c>
      <c r="J230" s="51" t="n"/>
      <c r="K230" s="53" t="n"/>
      <c r="L230" s="53" t="n"/>
      <c r="M230" s="54">
        <f>IF($A230="","",IF(AND($K230&lt;&gt;"",$L230&lt;&gt;""),$K230,IF($F230="You",$D230,IF($F230="Wife",0,IF($F230="Shared",$D230/2,0)))))</f>
        <v/>
      </c>
      <c r="N230" s="54">
        <f>IF($A230="","",IF(AND($K230&lt;&gt;"",$L230&lt;&gt;""),$L230,IF($F230="You",0,IF($F230="Wife",$D230,IF($F230="Shared",$D230/2,0)))))</f>
        <v/>
      </c>
    </row>
    <row r="231" ht="15" customHeight="1" s="43">
      <c r="A231" s="45" t="n"/>
      <c r="B231" s="46" t="n"/>
      <c r="C231" s="46" t="n"/>
      <c r="D231" s="47" t="n"/>
      <c r="E231" s="46" t="n"/>
      <c r="F231" s="46" t="n"/>
      <c r="G231" s="46" t="n"/>
      <c r="H231" s="46" t="n"/>
      <c r="I231" s="46">
        <f>IF($A231="","",TEXT($A231,"YYYY-MM"))</f>
        <v/>
      </c>
      <c r="J231" s="46" t="n"/>
      <c r="K231" s="48" t="n"/>
      <c r="L231" s="48" t="n"/>
      <c r="M231" s="49">
        <f>IF($A231="","",IF(AND($K231&lt;&gt;"",$L231&lt;&gt;""),$K231,IF($F231="You",$D231,IF($F231="Wife",0,IF($F231="Shared",$D231/2,0)))))</f>
        <v/>
      </c>
      <c r="N231" s="49">
        <f>IF($A231="","",IF(AND($K231&lt;&gt;"",$L231&lt;&gt;""),$L231,IF($F231="You",0,IF($F231="Wife",$D231,IF($F231="Shared",$D231/2,0)))))</f>
        <v/>
      </c>
    </row>
    <row r="232" ht="15" customHeight="1" s="43">
      <c r="A232" s="50" t="n"/>
      <c r="B232" s="51" t="n"/>
      <c r="C232" s="51" t="n"/>
      <c r="D232" s="52" t="n"/>
      <c r="E232" s="51" t="n"/>
      <c r="F232" s="51" t="n"/>
      <c r="G232" s="51" t="n"/>
      <c r="H232" s="51" t="n"/>
      <c r="I232" s="51">
        <f>IF($A232="","",TEXT($A232,"YYYY-MM"))</f>
        <v/>
      </c>
      <c r="J232" s="51" t="n"/>
      <c r="K232" s="53" t="n"/>
      <c r="L232" s="53" t="n"/>
      <c r="M232" s="54">
        <f>IF($A232="","",IF(AND($K232&lt;&gt;"",$L232&lt;&gt;""),$K232,IF($F232="You",$D232,IF($F232="Wife",0,IF($F232="Shared",$D232/2,0)))))</f>
        <v/>
      </c>
      <c r="N232" s="54">
        <f>IF($A232="","",IF(AND($K232&lt;&gt;"",$L232&lt;&gt;""),$L232,IF($F232="You",0,IF($F232="Wife",$D232,IF($F232="Shared",$D232/2,0)))))</f>
        <v/>
      </c>
    </row>
    <row r="233" ht="15" customHeight="1" s="43">
      <c r="A233" s="45" t="n"/>
      <c r="B233" s="46" t="n"/>
      <c r="C233" s="46" t="n"/>
      <c r="D233" s="47" t="n"/>
      <c r="E233" s="46" t="n"/>
      <c r="F233" s="46" t="n"/>
      <c r="G233" s="46" t="n"/>
      <c r="H233" s="46" t="n"/>
      <c r="I233" s="46">
        <f>IF($A233="","",TEXT($A233,"YYYY-MM"))</f>
        <v/>
      </c>
      <c r="J233" s="46" t="n"/>
      <c r="K233" s="48" t="n"/>
      <c r="L233" s="48" t="n"/>
      <c r="M233" s="49">
        <f>IF($A233="","",IF(AND($K233&lt;&gt;"",$L233&lt;&gt;""),$K233,IF($F233="You",$D233,IF($F233="Wife",0,IF($F233="Shared",$D233/2,0)))))</f>
        <v/>
      </c>
      <c r="N233" s="49">
        <f>IF($A233="","",IF(AND($K233&lt;&gt;"",$L233&lt;&gt;""),$L233,IF($F233="You",0,IF($F233="Wife",$D233,IF($F233="Shared",$D233/2,0)))))</f>
        <v/>
      </c>
    </row>
    <row r="234" ht="15" customHeight="1" s="43">
      <c r="A234" s="50" t="n"/>
      <c r="B234" s="51" t="n"/>
      <c r="C234" s="51" t="n"/>
      <c r="D234" s="52" t="n"/>
      <c r="E234" s="51" t="n"/>
      <c r="F234" s="51" t="n"/>
      <c r="G234" s="51" t="n"/>
      <c r="H234" s="51" t="n"/>
      <c r="I234" s="51">
        <f>IF($A234="","",TEXT($A234,"YYYY-MM"))</f>
        <v/>
      </c>
      <c r="J234" s="51" t="n"/>
      <c r="K234" s="53" t="n"/>
      <c r="L234" s="53" t="n"/>
      <c r="M234" s="54">
        <f>IF($A234="","",IF(AND($K234&lt;&gt;"",$L234&lt;&gt;""),$K234,IF($F234="You",$D234,IF($F234="Wife",0,IF($F234="Shared",$D234/2,0)))))</f>
        <v/>
      </c>
      <c r="N234" s="54">
        <f>IF($A234="","",IF(AND($K234&lt;&gt;"",$L234&lt;&gt;""),$L234,IF($F234="You",0,IF($F234="Wife",$D234,IF($F234="Shared",$D234/2,0)))))</f>
        <v/>
      </c>
    </row>
    <row r="235" ht="15" customHeight="1" s="43">
      <c r="A235" s="45" t="n"/>
      <c r="B235" s="46" t="n"/>
      <c r="C235" s="46" t="n"/>
      <c r="D235" s="47" t="n"/>
      <c r="E235" s="46" t="n"/>
      <c r="F235" s="46" t="n"/>
      <c r="G235" s="46" t="n"/>
      <c r="H235" s="46" t="n"/>
      <c r="I235" s="46">
        <f>IF($A235="","",TEXT($A235,"YYYY-MM"))</f>
        <v/>
      </c>
      <c r="J235" s="46" t="n"/>
      <c r="K235" s="48" t="n"/>
      <c r="L235" s="48" t="n"/>
      <c r="M235" s="49">
        <f>IF($A235="","",IF(AND($K235&lt;&gt;"",$L235&lt;&gt;""),$K235,IF($F235="You",$D235,IF($F235="Wife",0,IF($F235="Shared",$D235/2,0)))))</f>
        <v/>
      </c>
      <c r="N235" s="49">
        <f>IF($A235="","",IF(AND($K235&lt;&gt;"",$L235&lt;&gt;""),$L235,IF($F235="You",0,IF($F235="Wife",$D235,IF($F235="Shared",$D235/2,0)))))</f>
        <v/>
      </c>
    </row>
    <row r="236" ht="15" customHeight="1" s="43">
      <c r="A236" s="50" t="n"/>
      <c r="B236" s="51" t="n"/>
      <c r="C236" s="51" t="n"/>
      <c r="D236" s="52" t="n"/>
      <c r="E236" s="51" t="n"/>
      <c r="F236" s="51" t="n"/>
      <c r="G236" s="51" t="n"/>
      <c r="H236" s="51" t="n"/>
      <c r="I236" s="51">
        <f>IF($A236="","",TEXT($A236,"YYYY-MM"))</f>
        <v/>
      </c>
      <c r="J236" s="51" t="n"/>
      <c r="K236" s="53" t="n"/>
      <c r="L236" s="53" t="n"/>
      <c r="M236" s="54">
        <f>IF($A236="","",IF(AND($K236&lt;&gt;"",$L236&lt;&gt;""),$K236,IF($F236="You",$D236,IF($F236="Wife",0,IF($F236="Shared",$D236/2,0)))))</f>
        <v/>
      </c>
      <c r="N236" s="54">
        <f>IF($A236="","",IF(AND($K236&lt;&gt;"",$L236&lt;&gt;""),$L236,IF($F236="You",0,IF($F236="Wife",$D236,IF($F236="Shared",$D236/2,0)))))</f>
        <v/>
      </c>
    </row>
    <row r="237" ht="15" customHeight="1" s="43">
      <c r="A237" s="45" t="n"/>
      <c r="B237" s="46" t="n"/>
      <c r="C237" s="46" t="n"/>
      <c r="D237" s="47" t="n"/>
      <c r="E237" s="46" t="n"/>
      <c r="F237" s="46" t="n"/>
      <c r="G237" s="46" t="n"/>
      <c r="H237" s="46" t="n"/>
      <c r="I237" s="46">
        <f>IF($A237="","",TEXT($A237,"YYYY-MM"))</f>
        <v/>
      </c>
      <c r="J237" s="46" t="n"/>
      <c r="K237" s="48" t="n"/>
      <c r="L237" s="48" t="n"/>
      <c r="M237" s="49">
        <f>IF($A237="","",IF(AND($K237&lt;&gt;"",$L237&lt;&gt;""),$K237,IF($F237="You",$D237,IF($F237="Wife",0,IF($F237="Shared",$D237/2,0)))))</f>
        <v/>
      </c>
      <c r="N237" s="49">
        <f>IF($A237="","",IF(AND($K237&lt;&gt;"",$L237&lt;&gt;""),$L237,IF($F237="You",0,IF($F237="Wife",$D237,IF($F237="Shared",$D237/2,0)))))</f>
        <v/>
      </c>
    </row>
    <row r="238" ht="15" customHeight="1" s="43">
      <c r="A238" s="50" t="n"/>
      <c r="B238" s="51" t="n"/>
      <c r="C238" s="51" t="n"/>
      <c r="D238" s="52" t="n"/>
      <c r="E238" s="51" t="n"/>
      <c r="F238" s="51" t="n"/>
      <c r="G238" s="51" t="n"/>
      <c r="H238" s="51" t="n"/>
      <c r="I238" s="51">
        <f>IF($A238="","",TEXT($A238,"YYYY-MM"))</f>
        <v/>
      </c>
      <c r="J238" s="51" t="n"/>
      <c r="K238" s="53" t="n"/>
      <c r="L238" s="53" t="n"/>
      <c r="M238" s="54">
        <f>IF($A238="","",IF(AND($K238&lt;&gt;"",$L238&lt;&gt;""),$K238,IF($F238="You",$D238,IF($F238="Wife",0,IF($F238="Shared",$D238/2,0)))))</f>
        <v/>
      </c>
      <c r="N238" s="54">
        <f>IF($A238="","",IF(AND($K238&lt;&gt;"",$L238&lt;&gt;""),$L238,IF($F238="You",0,IF($F238="Wife",$D238,IF($F238="Shared",$D238/2,0)))))</f>
        <v/>
      </c>
    </row>
    <row r="239" ht="15" customHeight="1" s="43">
      <c r="A239" s="45" t="n"/>
      <c r="B239" s="46" t="n"/>
      <c r="C239" s="46" t="n"/>
      <c r="D239" s="47" t="n"/>
      <c r="E239" s="46" t="n"/>
      <c r="F239" s="46" t="n"/>
      <c r="G239" s="46" t="n"/>
      <c r="H239" s="46" t="n"/>
      <c r="I239" s="46">
        <f>IF($A239="","",TEXT($A239,"YYYY-MM"))</f>
        <v/>
      </c>
      <c r="J239" s="46" t="n"/>
      <c r="K239" s="48" t="n"/>
      <c r="L239" s="48" t="n"/>
      <c r="M239" s="49">
        <f>IF($A239="","",IF(AND($K239&lt;&gt;"",$L239&lt;&gt;""),$K239,IF($F239="You",$D239,IF($F239="Wife",0,IF($F239="Shared",$D239/2,0)))))</f>
        <v/>
      </c>
      <c r="N239" s="49">
        <f>IF($A239="","",IF(AND($K239&lt;&gt;"",$L239&lt;&gt;""),$L239,IF($F239="You",0,IF($F239="Wife",$D239,IF($F239="Shared",$D239/2,0)))))</f>
        <v/>
      </c>
    </row>
    <row r="240" ht="15" customHeight="1" s="43">
      <c r="A240" s="50" t="n"/>
      <c r="B240" s="51" t="n"/>
      <c r="C240" s="51" t="n"/>
      <c r="D240" s="52" t="n"/>
      <c r="E240" s="51" t="n"/>
      <c r="F240" s="51" t="n"/>
      <c r="G240" s="51" t="n"/>
      <c r="H240" s="51" t="n"/>
      <c r="I240" s="51">
        <f>IF($A240="","",TEXT($A240,"YYYY-MM"))</f>
        <v/>
      </c>
      <c r="J240" s="51" t="n"/>
      <c r="K240" s="53" t="n"/>
      <c r="L240" s="53" t="n"/>
      <c r="M240" s="54">
        <f>IF($A240="","",IF(AND($K240&lt;&gt;"",$L240&lt;&gt;""),$K240,IF($F240="You",$D240,IF($F240="Wife",0,IF($F240="Shared",$D240/2,0)))))</f>
        <v/>
      </c>
      <c r="N240" s="54">
        <f>IF($A240="","",IF(AND($K240&lt;&gt;"",$L240&lt;&gt;""),$L240,IF($F240="You",0,IF($F240="Wife",$D240,IF($F240="Shared",$D240/2,0)))))</f>
        <v/>
      </c>
    </row>
    <row r="241" ht="15" customHeight="1" s="43">
      <c r="A241" s="45" t="n"/>
      <c r="B241" s="46" t="n"/>
      <c r="C241" s="46" t="n"/>
      <c r="D241" s="47" t="n"/>
      <c r="E241" s="46" t="n"/>
      <c r="F241" s="46" t="n"/>
      <c r="G241" s="46" t="n"/>
      <c r="H241" s="46" t="n"/>
      <c r="I241" s="46">
        <f>IF($A241="","",TEXT($A241,"YYYY-MM"))</f>
        <v/>
      </c>
      <c r="J241" s="46" t="n"/>
      <c r="K241" s="48" t="n"/>
      <c r="L241" s="48" t="n"/>
      <c r="M241" s="49">
        <f>IF($A241="","",IF(AND($K241&lt;&gt;"",$L241&lt;&gt;""),$K241,IF($F241="You",$D241,IF($F241="Wife",0,IF($F241="Shared",$D241/2,0)))))</f>
        <v/>
      </c>
      <c r="N241" s="49">
        <f>IF($A241="","",IF(AND($K241&lt;&gt;"",$L241&lt;&gt;""),$L241,IF($F241="You",0,IF($F241="Wife",$D241,IF($F241="Shared",$D241/2,0)))))</f>
        <v/>
      </c>
    </row>
    <row r="242" ht="15" customHeight="1" s="43">
      <c r="A242" s="50" t="n"/>
      <c r="B242" s="51" t="n"/>
      <c r="C242" s="51" t="n"/>
      <c r="D242" s="52" t="n"/>
      <c r="E242" s="51" t="n"/>
      <c r="F242" s="51" t="n"/>
      <c r="G242" s="51" t="n"/>
      <c r="H242" s="51" t="n"/>
      <c r="I242" s="51">
        <f>IF($A242="","",TEXT($A242,"YYYY-MM"))</f>
        <v/>
      </c>
      <c r="J242" s="51" t="n"/>
      <c r="K242" s="53" t="n"/>
      <c r="L242" s="53" t="n"/>
      <c r="M242" s="54">
        <f>IF($A242="","",IF(AND($K242&lt;&gt;"",$L242&lt;&gt;""),$K242,IF($F242="You",$D242,IF($F242="Wife",0,IF($F242="Shared",$D242/2,0)))))</f>
        <v/>
      </c>
      <c r="N242" s="54">
        <f>IF($A242="","",IF(AND($K242&lt;&gt;"",$L242&lt;&gt;""),$L242,IF($F242="You",0,IF($F242="Wife",$D242,IF($F242="Shared",$D242/2,0)))))</f>
        <v/>
      </c>
    </row>
    <row r="243" ht="15" customHeight="1" s="43">
      <c r="A243" s="45" t="n"/>
      <c r="B243" s="46" t="n"/>
      <c r="C243" s="46" t="n"/>
      <c r="D243" s="47" t="n"/>
      <c r="E243" s="46" t="n"/>
      <c r="F243" s="46" t="n"/>
      <c r="G243" s="46" t="n"/>
      <c r="H243" s="46" t="n"/>
      <c r="I243" s="46">
        <f>IF($A243="","",TEXT($A243,"YYYY-MM"))</f>
        <v/>
      </c>
      <c r="J243" s="46" t="n"/>
      <c r="K243" s="48" t="n"/>
      <c r="L243" s="48" t="n"/>
      <c r="M243" s="49">
        <f>IF($A243="","",IF(AND($K243&lt;&gt;"",$L243&lt;&gt;""),$K243,IF($F243="You",$D243,IF($F243="Wife",0,IF($F243="Shared",$D243/2,0)))))</f>
        <v/>
      </c>
      <c r="N243" s="49">
        <f>IF($A243="","",IF(AND($K243&lt;&gt;"",$L243&lt;&gt;""),$L243,IF($F243="You",0,IF($F243="Wife",$D243,IF($F243="Shared",$D243/2,0)))))</f>
        <v/>
      </c>
    </row>
    <row r="244" ht="15" customHeight="1" s="43">
      <c r="A244" s="50" t="n"/>
      <c r="B244" s="51" t="n"/>
      <c r="C244" s="51" t="n"/>
      <c r="D244" s="52" t="n"/>
      <c r="E244" s="51" t="n"/>
      <c r="F244" s="51" t="n"/>
      <c r="G244" s="51" t="n"/>
      <c r="H244" s="51" t="n"/>
      <c r="I244" s="51">
        <f>IF($A244="","",TEXT($A244,"YYYY-MM"))</f>
        <v/>
      </c>
      <c r="J244" s="51" t="n"/>
      <c r="K244" s="53" t="n"/>
      <c r="L244" s="53" t="n"/>
      <c r="M244" s="54">
        <f>IF($A244="","",IF(AND($K244&lt;&gt;"",$L244&lt;&gt;""),$K244,IF($F244="You",$D244,IF($F244="Wife",0,IF($F244="Shared",$D244/2,0)))))</f>
        <v/>
      </c>
      <c r="N244" s="54">
        <f>IF($A244="","",IF(AND($K244&lt;&gt;"",$L244&lt;&gt;""),$L244,IF($F244="You",0,IF($F244="Wife",$D244,IF($F244="Shared",$D244/2,0)))))</f>
        <v/>
      </c>
    </row>
    <row r="245" ht="15" customHeight="1" s="43">
      <c r="A245" s="45" t="n"/>
      <c r="B245" s="46" t="n"/>
      <c r="C245" s="46" t="n"/>
      <c r="D245" s="47" t="n"/>
      <c r="E245" s="46" t="n"/>
      <c r="F245" s="46" t="n"/>
      <c r="G245" s="46" t="n"/>
      <c r="H245" s="46" t="n"/>
      <c r="I245" s="46">
        <f>IF($A245="","",TEXT($A245,"YYYY-MM"))</f>
        <v/>
      </c>
      <c r="J245" s="46" t="n"/>
      <c r="K245" s="48" t="n"/>
      <c r="L245" s="48" t="n"/>
      <c r="M245" s="49">
        <f>IF($A245="","",IF(AND($K245&lt;&gt;"",$L245&lt;&gt;""),$K245,IF($F245="You",$D245,IF($F245="Wife",0,IF($F245="Shared",$D245/2,0)))))</f>
        <v/>
      </c>
      <c r="N245" s="49">
        <f>IF($A245="","",IF(AND($K245&lt;&gt;"",$L245&lt;&gt;""),$L245,IF($F245="You",0,IF($F245="Wife",$D245,IF($F245="Shared",$D245/2,0)))))</f>
        <v/>
      </c>
    </row>
    <row r="246" ht="15" customHeight="1" s="43">
      <c r="A246" s="50" t="n"/>
      <c r="B246" s="51" t="n"/>
      <c r="C246" s="51" t="n"/>
      <c r="D246" s="52" t="n"/>
      <c r="E246" s="51" t="n"/>
      <c r="F246" s="51" t="n"/>
      <c r="G246" s="51" t="n"/>
      <c r="H246" s="51" t="n"/>
      <c r="I246" s="51">
        <f>IF($A246="","",TEXT($A246,"YYYY-MM"))</f>
        <v/>
      </c>
      <c r="J246" s="51" t="n"/>
      <c r="K246" s="53" t="n"/>
      <c r="L246" s="53" t="n"/>
      <c r="M246" s="54">
        <f>IF($A246="","",IF(AND($K246&lt;&gt;"",$L246&lt;&gt;""),$K246,IF($F246="You",$D246,IF($F246="Wife",0,IF($F246="Shared",$D246/2,0)))))</f>
        <v/>
      </c>
      <c r="N246" s="54">
        <f>IF($A246="","",IF(AND($K246&lt;&gt;"",$L246&lt;&gt;""),$L246,IF($F246="You",0,IF($F246="Wife",$D246,IF($F246="Shared",$D246/2,0)))))</f>
        <v/>
      </c>
    </row>
    <row r="247" ht="15" customHeight="1" s="43">
      <c r="A247" s="45" t="n"/>
      <c r="B247" s="46" t="n"/>
      <c r="C247" s="46" t="n"/>
      <c r="D247" s="47" t="n"/>
      <c r="E247" s="46" t="n"/>
      <c r="F247" s="46" t="n"/>
      <c r="G247" s="46" t="n"/>
      <c r="H247" s="46" t="n"/>
      <c r="I247" s="46">
        <f>IF($A247="","",TEXT($A247,"YYYY-MM"))</f>
        <v/>
      </c>
      <c r="J247" s="46" t="n"/>
      <c r="K247" s="48" t="n"/>
      <c r="L247" s="48" t="n"/>
      <c r="M247" s="49">
        <f>IF($A247="","",IF(AND($K247&lt;&gt;"",$L247&lt;&gt;""),$K247,IF($F247="You",$D247,IF($F247="Wife",0,IF($F247="Shared",$D247/2,0)))))</f>
        <v/>
      </c>
      <c r="N247" s="49">
        <f>IF($A247="","",IF(AND($K247&lt;&gt;"",$L247&lt;&gt;""),$L247,IF($F247="You",0,IF($F247="Wife",$D247,IF($F247="Shared",$D247/2,0)))))</f>
        <v/>
      </c>
    </row>
    <row r="248" ht="15" customHeight="1" s="43">
      <c r="A248" s="50" t="n"/>
      <c r="B248" s="51" t="n"/>
      <c r="C248" s="51" t="n"/>
      <c r="D248" s="52" t="n"/>
      <c r="E248" s="51" t="n"/>
      <c r="F248" s="51" t="n"/>
      <c r="G248" s="51" t="n"/>
      <c r="H248" s="51" t="n"/>
      <c r="I248" s="51">
        <f>IF($A248="","",TEXT($A248,"YYYY-MM"))</f>
        <v/>
      </c>
      <c r="J248" s="51" t="n"/>
      <c r="K248" s="53" t="n"/>
      <c r="L248" s="53" t="n"/>
      <c r="M248" s="54">
        <f>IF($A248="","",IF(AND($K248&lt;&gt;"",$L248&lt;&gt;""),$K248,IF($F248="You",$D248,IF($F248="Wife",0,IF($F248="Shared",$D248/2,0)))))</f>
        <v/>
      </c>
      <c r="N248" s="54">
        <f>IF($A248="","",IF(AND($K248&lt;&gt;"",$L248&lt;&gt;""),$L248,IF($F248="You",0,IF($F248="Wife",$D248,IF($F248="Shared",$D248/2,0)))))</f>
        <v/>
      </c>
    </row>
    <row r="249" ht="15" customHeight="1" s="43">
      <c r="A249" s="45" t="n"/>
      <c r="B249" s="46" t="n"/>
      <c r="C249" s="46" t="n"/>
      <c r="D249" s="47" t="n"/>
      <c r="E249" s="46" t="n"/>
      <c r="F249" s="46" t="n"/>
      <c r="G249" s="46" t="n"/>
      <c r="H249" s="46" t="n"/>
      <c r="I249" s="46">
        <f>IF($A249="","",TEXT($A249,"YYYY-MM"))</f>
        <v/>
      </c>
      <c r="J249" s="46" t="n"/>
      <c r="K249" s="48" t="n"/>
      <c r="L249" s="48" t="n"/>
      <c r="M249" s="49">
        <f>IF($A249="","",IF(AND($K249&lt;&gt;"",$L249&lt;&gt;""),$K249,IF($F249="You",$D249,IF($F249="Wife",0,IF($F249="Shared",$D249/2,0)))))</f>
        <v/>
      </c>
      <c r="N249" s="49">
        <f>IF($A249="","",IF(AND($K249&lt;&gt;"",$L249&lt;&gt;""),$L249,IF($F249="You",0,IF($F249="Wife",$D249,IF($F249="Shared",$D249/2,0)))))</f>
        <v/>
      </c>
    </row>
    <row r="250" ht="15" customHeight="1" s="43">
      <c r="A250" s="50" t="n"/>
      <c r="B250" s="51" t="n"/>
      <c r="C250" s="51" t="n"/>
      <c r="D250" s="52" t="n"/>
      <c r="E250" s="51" t="n"/>
      <c r="F250" s="51" t="n"/>
      <c r="G250" s="51" t="n"/>
      <c r="H250" s="51" t="n"/>
      <c r="I250" s="51">
        <f>IF($A250="","",TEXT($A250,"YYYY-MM"))</f>
        <v/>
      </c>
      <c r="J250" s="51" t="n"/>
      <c r="K250" s="53" t="n"/>
      <c r="L250" s="53" t="n"/>
      <c r="M250" s="54">
        <f>IF($A250="","",IF(AND($K250&lt;&gt;"",$L250&lt;&gt;""),$K250,IF($F250="You",$D250,IF($F250="Wife",0,IF($F250="Shared",$D250/2,0)))))</f>
        <v/>
      </c>
      <c r="N250" s="54">
        <f>IF($A250="","",IF(AND($K250&lt;&gt;"",$L250&lt;&gt;""),$L250,IF($F250="You",0,IF($F250="Wife",$D250,IF($F250="Shared",$D250/2,0)))))</f>
        <v/>
      </c>
    </row>
    <row r="251" ht="15" customHeight="1" s="43">
      <c r="A251" s="45" t="n"/>
      <c r="B251" s="46" t="n"/>
      <c r="C251" s="46" t="n"/>
      <c r="D251" s="47" t="n"/>
      <c r="E251" s="46" t="n"/>
      <c r="F251" s="46" t="n"/>
      <c r="G251" s="46" t="n"/>
      <c r="H251" s="46" t="n"/>
      <c r="I251" s="46">
        <f>IF($A251="","",TEXT($A251,"YYYY-MM"))</f>
        <v/>
      </c>
      <c r="J251" s="46" t="n"/>
      <c r="K251" s="48" t="n"/>
      <c r="L251" s="48" t="n"/>
      <c r="M251" s="49">
        <f>IF($A251="","",IF(AND($K251&lt;&gt;"",$L251&lt;&gt;""),$K251,IF($F251="You",$D251,IF($F251="Wife",0,IF($F251="Shared",$D251/2,0)))))</f>
        <v/>
      </c>
      <c r="N251" s="49">
        <f>IF($A251="","",IF(AND($K251&lt;&gt;"",$L251&lt;&gt;""),$L251,IF($F251="You",0,IF($F251="Wife",$D251,IF($F251="Shared",$D251/2,0)))))</f>
        <v/>
      </c>
    </row>
    <row r="252" ht="15" customHeight="1" s="43">
      <c r="A252" s="50" t="n"/>
      <c r="B252" s="51" t="n"/>
      <c r="C252" s="51" t="n"/>
      <c r="D252" s="52" t="n"/>
      <c r="E252" s="51" t="n"/>
      <c r="F252" s="51" t="n"/>
      <c r="G252" s="51" t="n"/>
      <c r="H252" s="51" t="n"/>
      <c r="I252" s="51">
        <f>IF($A252="","",TEXT($A252,"YYYY-MM"))</f>
        <v/>
      </c>
      <c r="J252" s="51" t="n"/>
      <c r="K252" s="53" t="n"/>
      <c r="L252" s="53" t="n"/>
      <c r="M252" s="54">
        <f>IF($A252="","",IF(AND($K252&lt;&gt;"",$L252&lt;&gt;""),$K252,IF($F252="You",$D252,IF($F252="Wife",0,IF($F252="Shared",$D252/2,0)))))</f>
        <v/>
      </c>
      <c r="N252" s="54">
        <f>IF($A252="","",IF(AND($K252&lt;&gt;"",$L252&lt;&gt;""),$L252,IF($F252="You",0,IF($F252="Wife",$D252,IF($F252="Shared",$D252/2,0)))))</f>
        <v/>
      </c>
    </row>
    <row r="253" ht="15" customHeight="1" s="43">
      <c r="A253" s="45" t="n"/>
      <c r="B253" s="46" t="n"/>
      <c r="C253" s="46" t="n"/>
      <c r="D253" s="47" t="n"/>
      <c r="E253" s="46" t="n"/>
      <c r="F253" s="46" t="n"/>
      <c r="G253" s="46" t="n"/>
      <c r="H253" s="46" t="n"/>
      <c r="I253" s="46">
        <f>IF($A253="","",TEXT($A253,"YYYY-MM"))</f>
        <v/>
      </c>
      <c r="J253" s="46" t="n"/>
      <c r="K253" s="48" t="n"/>
      <c r="L253" s="48" t="n"/>
      <c r="M253" s="49">
        <f>IF($A253="","",IF(AND($K253&lt;&gt;"",$L253&lt;&gt;""),$K253,IF($F253="You",$D253,IF($F253="Wife",0,IF($F253="Shared",$D253/2,0)))))</f>
        <v/>
      </c>
      <c r="N253" s="49">
        <f>IF($A253="","",IF(AND($K253&lt;&gt;"",$L253&lt;&gt;""),$L253,IF($F253="You",0,IF($F253="Wife",$D253,IF($F253="Shared",$D253/2,0)))))</f>
        <v/>
      </c>
    </row>
    <row r="254" ht="15" customHeight="1" s="43">
      <c r="A254" s="50" t="n"/>
      <c r="B254" s="51" t="n"/>
      <c r="C254" s="51" t="n"/>
      <c r="D254" s="52" t="n"/>
      <c r="E254" s="51" t="n"/>
      <c r="F254" s="51" t="n"/>
      <c r="G254" s="51" t="n"/>
      <c r="H254" s="51" t="n"/>
      <c r="I254" s="51">
        <f>IF($A254="","",TEXT($A254,"YYYY-MM"))</f>
        <v/>
      </c>
      <c r="J254" s="51" t="n"/>
      <c r="K254" s="53" t="n"/>
      <c r="L254" s="53" t="n"/>
      <c r="M254" s="54">
        <f>IF($A254="","",IF(AND($K254&lt;&gt;"",$L254&lt;&gt;""),$K254,IF($F254="You",$D254,IF($F254="Wife",0,IF($F254="Shared",$D254/2,0)))))</f>
        <v/>
      </c>
      <c r="N254" s="54">
        <f>IF($A254="","",IF(AND($K254&lt;&gt;"",$L254&lt;&gt;""),$L254,IF($F254="You",0,IF($F254="Wife",$D254,IF($F254="Shared",$D254/2,0)))))</f>
        <v/>
      </c>
    </row>
    <row r="255" ht="15" customHeight="1" s="43">
      <c r="A255" s="45" t="n"/>
      <c r="B255" s="46" t="n"/>
      <c r="C255" s="46" t="n"/>
      <c r="D255" s="47" t="n"/>
      <c r="E255" s="46" t="n"/>
      <c r="F255" s="46" t="n"/>
      <c r="G255" s="46" t="n"/>
      <c r="H255" s="46" t="n"/>
      <c r="I255" s="46">
        <f>IF($A255="","",TEXT($A255,"YYYY-MM"))</f>
        <v/>
      </c>
      <c r="J255" s="46" t="n"/>
      <c r="K255" s="48" t="n"/>
      <c r="L255" s="48" t="n"/>
      <c r="M255" s="49">
        <f>IF($A255="","",IF(AND($K255&lt;&gt;"",$L255&lt;&gt;""),$K255,IF($F255="You",$D255,IF($F255="Wife",0,IF($F255="Shared",$D255/2,0)))))</f>
        <v/>
      </c>
      <c r="N255" s="49">
        <f>IF($A255="","",IF(AND($K255&lt;&gt;"",$L255&lt;&gt;""),$L255,IF($F255="You",0,IF($F255="Wife",$D255,IF($F255="Shared",$D255/2,0)))))</f>
        <v/>
      </c>
    </row>
    <row r="256" ht="15" customHeight="1" s="43">
      <c r="A256" s="50" t="n"/>
      <c r="B256" s="51" t="n"/>
      <c r="C256" s="51" t="n"/>
      <c r="D256" s="52" t="n"/>
      <c r="E256" s="51" t="n"/>
      <c r="F256" s="51" t="n"/>
      <c r="G256" s="51" t="n"/>
      <c r="H256" s="51" t="n"/>
      <c r="I256" s="51">
        <f>IF($A256="","",TEXT($A256,"YYYY-MM"))</f>
        <v/>
      </c>
      <c r="J256" s="51" t="n"/>
      <c r="K256" s="53" t="n"/>
      <c r="L256" s="53" t="n"/>
      <c r="M256" s="54">
        <f>IF($A256="","",IF(AND($K256&lt;&gt;"",$L256&lt;&gt;""),$K256,IF($F256="You",$D256,IF($F256="Wife",0,IF($F256="Shared",$D256/2,0)))))</f>
        <v/>
      </c>
      <c r="N256" s="54">
        <f>IF($A256="","",IF(AND($K256&lt;&gt;"",$L256&lt;&gt;""),$L256,IF($F256="You",0,IF($F256="Wife",$D256,IF($F256="Shared",$D256/2,0)))))</f>
        <v/>
      </c>
    </row>
    <row r="257" ht="15" customHeight="1" s="43">
      <c r="A257" s="45" t="n"/>
      <c r="B257" s="46" t="n"/>
      <c r="C257" s="46" t="n"/>
      <c r="D257" s="47" t="n"/>
      <c r="E257" s="46" t="n"/>
      <c r="F257" s="46" t="n"/>
      <c r="G257" s="46" t="n"/>
      <c r="H257" s="46" t="n"/>
      <c r="I257" s="46">
        <f>IF($A257="","",TEXT($A257,"YYYY-MM"))</f>
        <v/>
      </c>
      <c r="J257" s="46" t="n"/>
      <c r="K257" s="48" t="n"/>
      <c r="L257" s="48" t="n"/>
      <c r="M257" s="49">
        <f>IF($A257="","",IF(AND($K257&lt;&gt;"",$L257&lt;&gt;""),$K257,IF($F257="You",$D257,IF($F257="Wife",0,IF($F257="Shared",$D257/2,0)))))</f>
        <v/>
      </c>
      <c r="N257" s="49">
        <f>IF($A257="","",IF(AND($K257&lt;&gt;"",$L257&lt;&gt;""),$L257,IF($F257="You",0,IF($F257="Wife",$D257,IF($F257="Shared",$D257/2,0)))))</f>
        <v/>
      </c>
    </row>
    <row r="258" ht="15" customHeight="1" s="43">
      <c r="A258" s="50" t="n"/>
      <c r="B258" s="51" t="n"/>
      <c r="C258" s="51" t="n"/>
      <c r="D258" s="52" t="n"/>
      <c r="E258" s="51" t="n"/>
      <c r="F258" s="51" t="n"/>
      <c r="G258" s="51" t="n"/>
      <c r="H258" s="51" t="n"/>
      <c r="I258" s="51">
        <f>IF($A258="","",TEXT($A258,"YYYY-MM"))</f>
        <v/>
      </c>
      <c r="J258" s="51" t="n"/>
      <c r="K258" s="53" t="n"/>
      <c r="L258" s="53" t="n"/>
      <c r="M258" s="54">
        <f>IF($A258="","",IF(AND($K258&lt;&gt;"",$L258&lt;&gt;""),$K258,IF($F258="You",$D258,IF($F258="Wife",0,IF($F258="Shared",$D258/2,0)))))</f>
        <v/>
      </c>
      <c r="N258" s="54">
        <f>IF($A258="","",IF(AND($K258&lt;&gt;"",$L258&lt;&gt;""),$L258,IF($F258="You",0,IF($F258="Wife",$D258,IF($F258="Shared",$D258/2,0)))))</f>
        <v/>
      </c>
    </row>
    <row r="259" ht="15" customHeight="1" s="43">
      <c r="A259" s="45" t="n"/>
      <c r="B259" s="46" t="n"/>
      <c r="C259" s="46" t="n"/>
      <c r="D259" s="47" t="n"/>
      <c r="E259" s="46" t="n"/>
      <c r="F259" s="46" t="n"/>
      <c r="G259" s="46" t="n"/>
      <c r="H259" s="46" t="n"/>
      <c r="I259" s="46">
        <f>IF($A259="","",TEXT($A259,"YYYY-MM"))</f>
        <v/>
      </c>
      <c r="J259" s="46" t="n"/>
      <c r="K259" s="48" t="n"/>
      <c r="L259" s="48" t="n"/>
      <c r="M259" s="49">
        <f>IF($A259="","",IF(AND($K259&lt;&gt;"",$L259&lt;&gt;""),$K259,IF($F259="You",$D259,IF($F259="Wife",0,IF($F259="Shared",$D259/2,0)))))</f>
        <v/>
      </c>
      <c r="N259" s="49">
        <f>IF($A259="","",IF(AND($K259&lt;&gt;"",$L259&lt;&gt;""),$L259,IF($F259="You",0,IF($F259="Wife",$D259,IF($F259="Shared",$D259/2,0)))))</f>
        <v/>
      </c>
    </row>
    <row r="260" ht="15" customHeight="1" s="43">
      <c r="A260" s="50" t="n"/>
      <c r="B260" s="51" t="n"/>
      <c r="C260" s="51" t="n"/>
      <c r="D260" s="52" t="n"/>
      <c r="E260" s="51" t="n"/>
      <c r="F260" s="51" t="n"/>
      <c r="G260" s="51" t="n"/>
      <c r="H260" s="51" t="n"/>
      <c r="I260" s="51">
        <f>IF($A260="","",TEXT($A260,"YYYY-MM"))</f>
        <v/>
      </c>
      <c r="J260" s="51" t="n"/>
      <c r="K260" s="53" t="n"/>
      <c r="L260" s="53" t="n"/>
      <c r="M260" s="54">
        <f>IF($A260="","",IF(AND($K260&lt;&gt;"",$L260&lt;&gt;""),$K260,IF($F260="You",$D260,IF($F260="Wife",0,IF($F260="Shared",$D260/2,0)))))</f>
        <v/>
      </c>
      <c r="N260" s="54">
        <f>IF($A260="","",IF(AND($K260&lt;&gt;"",$L260&lt;&gt;""),$L260,IF($F260="You",0,IF($F260="Wife",$D260,IF($F260="Shared",$D260/2,0)))))</f>
        <v/>
      </c>
    </row>
    <row r="261" ht="15" customHeight="1" s="43">
      <c r="A261" s="45" t="n"/>
      <c r="B261" s="46" t="n"/>
      <c r="C261" s="46" t="n"/>
      <c r="D261" s="47" t="n"/>
      <c r="E261" s="46" t="n"/>
      <c r="F261" s="46" t="n"/>
      <c r="G261" s="46" t="n"/>
      <c r="H261" s="46" t="n"/>
      <c r="I261" s="46">
        <f>IF($A261="","",TEXT($A261,"YYYY-MM"))</f>
        <v/>
      </c>
      <c r="J261" s="46" t="n"/>
      <c r="K261" s="48" t="n"/>
      <c r="L261" s="48" t="n"/>
      <c r="M261" s="49">
        <f>IF($A261="","",IF(AND($K261&lt;&gt;"",$L261&lt;&gt;""),$K261,IF($F261="You",$D261,IF($F261="Wife",0,IF($F261="Shared",$D261/2,0)))))</f>
        <v/>
      </c>
      <c r="N261" s="49">
        <f>IF($A261="","",IF(AND($K261&lt;&gt;"",$L261&lt;&gt;""),$L261,IF($F261="You",0,IF($F261="Wife",$D261,IF($F261="Shared",$D261/2,0)))))</f>
        <v/>
      </c>
    </row>
    <row r="262" ht="15" customHeight="1" s="43">
      <c r="A262" s="50" t="n"/>
      <c r="B262" s="51" t="n"/>
      <c r="C262" s="51" t="n"/>
      <c r="D262" s="52" t="n"/>
      <c r="E262" s="51" t="n"/>
      <c r="F262" s="51" t="n"/>
      <c r="G262" s="51" t="n"/>
      <c r="H262" s="51" t="n"/>
      <c r="I262" s="51">
        <f>IF($A262="","",TEXT($A262,"YYYY-MM"))</f>
        <v/>
      </c>
      <c r="J262" s="51" t="n"/>
      <c r="K262" s="53" t="n"/>
      <c r="L262" s="53" t="n"/>
      <c r="M262" s="54">
        <f>IF($A262="","",IF(AND($K262&lt;&gt;"",$L262&lt;&gt;""),$K262,IF($F262="You",$D262,IF($F262="Wife",0,IF($F262="Shared",$D262/2,0)))))</f>
        <v/>
      </c>
      <c r="N262" s="54">
        <f>IF($A262="","",IF(AND($K262&lt;&gt;"",$L262&lt;&gt;""),$L262,IF($F262="You",0,IF($F262="Wife",$D262,IF($F262="Shared",$D262/2,0)))))</f>
        <v/>
      </c>
    </row>
    <row r="263" ht="15" customHeight="1" s="43">
      <c r="A263" s="45" t="n"/>
      <c r="B263" s="46" t="n"/>
      <c r="C263" s="46" t="n"/>
      <c r="D263" s="47" t="n"/>
      <c r="E263" s="46" t="n"/>
      <c r="F263" s="46" t="n"/>
      <c r="G263" s="46" t="n"/>
      <c r="H263" s="46" t="n"/>
      <c r="I263" s="46">
        <f>IF($A263="","",TEXT($A263,"YYYY-MM"))</f>
        <v/>
      </c>
      <c r="J263" s="46" t="n"/>
      <c r="K263" s="48" t="n"/>
      <c r="L263" s="48" t="n"/>
      <c r="M263" s="49">
        <f>IF($A263="","",IF(AND($K263&lt;&gt;"",$L263&lt;&gt;""),$K263,IF($F263="You",$D263,IF($F263="Wife",0,IF($F263="Shared",$D263/2,0)))))</f>
        <v/>
      </c>
      <c r="N263" s="49">
        <f>IF($A263="","",IF(AND($K263&lt;&gt;"",$L263&lt;&gt;""),$L263,IF($F263="You",0,IF($F263="Wife",$D263,IF($F263="Shared",$D263/2,0)))))</f>
        <v/>
      </c>
    </row>
    <row r="264" ht="15" customHeight="1" s="43">
      <c r="A264" s="50" t="n"/>
      <c r="B264" s="51" t="n"/>
      <c r="C264" s="51" t="n"/>
      <c r="D264" s="52" t="n"/>
      <c r="E264" s="51" t="n"/>
      <c r="F264" s="51" t="n"/>
      <c r="G264" s="51" t="n"/>
      <c r="H264" s="51" t="n"/>
      <c r="I264" s="51">
        <f>IF($A264="","",TEXT($A264,"YYYY-MM"))</f>
        <v/>
      </c>
      <c r="J264" s="51" t="n"/>
      <c r="K264" s="53" t="n"/>
      <c r="L264" s="53" t="n"/>
      <c r="M264" s="54">
        <f>IF($A264="","",IF(AND($K264&lt;&gt;"",$L264&lt;&gt;""),$K264,IF($F264="You",$D264,IF($F264="Wife",0,IF($F264="Shared",$D264/2,0)))))</f>
        <v/>
      </c>
      <c r="N264" s="54">
        <f>IF($A264="","",IF(AND($K264&lt;&gt;"",$L264&lt;&gt;""),$L264,IF($F264="You",0,IF($F264="Wife",$D264,IF($F264="Shared",$D264/2,0)))))</f>
        <v/>
      </c>
    </row>
    <row r="265" ht="15" customHeight="1" s="43">
      <c r="A265" s="45" t="n"/>
      <c r="B265" s="46" t="n"/>
      <c r="C265" s="46" t="n"/>
      <c r="D265" s="47" t="n"/>
      <c r="E265" s="46" t="n"/>
      <c r="F265" s="46" t="n"/>
      <c r="G265" s="46" t="n"/>
      <c r="H265" s="46" t="n"/>
      <c r="I265" s="46">
        <f>IF($A265="","",TEXT($A265,"YYYY-MM"))</f>
        <v/>
      </c>
      <c r="J265" s="46" t="n"/>
      <c r="K265" s="48" t="n"/>
      <c r="L265" s="48" t="n"/>
      <c r="M265" s="49">
        <f>IF($A265="","",IF(AND($K265&lt;&gt;"",$L265&lt;&gt;""),$K265,IF($F265="You",$D265,IF($F265="Wife",0,IF($F265="Shared",$D265/2,0)))))</f>
        <v/>
      </c>
      <c r="N265" s="49">
        <f>IF($A265="","",IF(AND($K265&lt;&gt;"",$L265&lt;&gt;""),$L265,IF($F265="You",0,IF($F265="Wife",$D265,IF($F265="Shared",$D265/2,0)))))</f>
        <v/>
      </c>
    </row>
    <row r="266" ht="15" customHeight="1" s="43">
      <c r="A266" s="50" t="n"/>
      <c r="B266" s="51" t="n"/>
      <c r="C266" s="51" t="n"/>
      <c r="D266" s="52" t="n"/>
      <c r="E266" s="51" t="n"/>
      <c r="F266" s="51" t="n"/>
      <c r="G266" s="51" t="n"/>
      <c r="H266" s="51" t="n"/>
      <c r="I266" s="51">
        <f>IF($A266="","",TEXT($A266,"YYYY-MM"))</f>
        <v/>
      </c>
      <c r="J266" s="51" t="n"/>
      <c r="K266" s="53" t="n"/>
      <c r="L266" s="53" t="n"/>
      <c r="M266" s="54">
        <f>IF($A266="","",IF(AND($K266&lt;&gt;"",$L266&lt;&gt;""),$K266,IF($F266="You",$D266,IF($F266="Wife",0,IF($F266="Shared",$D266/2,0)))))</f>
        <v/>
      </c>
      <c r="N266" s="54">
        <f>IF($A266="","",IF(AND($K266&lt;&gt;"",$L266&lt;&gt;""),$L266,IF($F266="You",0,IF($F266="Wife",$D266,IF($F266="Shared",$D266/2,0)))))</f>
        <v/>
      </c>
    </row>
    <row r="267" ht="15" customHeight="1" s="43">
      <c r="A267" s="45" t="n"/>
      <c r="B267" s="46" t="n"/>
      <c r="C267" s="46" t="n"/>
      <c r="D267" s="47" t="n"/>
      <c r="E267" s="46" t="n"/>
      <c r="F267" s="46" t="n"/>
      <c r="G267" s="46" t="n"/>
      <c r="H267" s="46" t="n"/>
      <c r="I267" s="46">
        <f>IF($A267="","",TEXT($A267,"YYYY-MM"))</f>
        <v/>
      </c>
      <c r="J267" s="46" t="n"/>
      <c r="K267" s="48" t="n"/>
      <c r="L267" s="48" t="n"/>
      <c r="M267" s="49">
        <f>IF($A267="","",IF(AND($K267&lt;&gt;"",$L267&lt;&gt;""),$K267,IF($F267="You",$D267,IF($F267="Wife",0,IF($F267="Shared",$D267/2,0)))))</f>
        <v/>
      </c>
      <c r="N267" s="49">
        <f>IF($A267="","",IF(AND($K267&lt;&gt;"",$L267&lt;&gt;""),$L267,IF($F267="You",0,IF($F267="Wife",$D267,IF($F267="Shared",$D267/2,0)))))</f>
        <v/>
      </c>
    </row>
    <row r="268" ht="15" customHeight="1" s="43">
      <c r="A268" s="50" t="n"/>
      <c r="B268" s="51" t="n"/>
      <c r="C268" s="51" t="n"/>
      <c r="D268" s="52" t="n"/>
      <c r="E268" s="51" t="n"/>
      <c r="F268" s="51" t="n"/>
      <c r="G268" s="51" t="n"/>
      <c r="H268" s="51" t="n"/>
      <c r="I268" s="51">
        <f>IF($A268="","",TEXT($A268,"YYYY-MM"))</f>
        <v/>
      </c>
      <c r="J268" s="51" t="n"/>
      <c r="K268" s="53" t="n"/>
      <c r="L268" s="53" t="n"/>
      <c r="M268" s="54">
        <f>IF($A268="","",IF(AND($K268&lt;&gt;"",$L268&lt;&gt;""),$K268,IF($F268="You",$D268,IF($F268="Wife",0,IF($F268="Shared",$D268/2,0)))))</f>
        <v/>
      </c>
      <c r="N268" s="54">
        <f>IF($A268="","",IF(AND($K268&lt;&gt;"",$L268&lt;&gt;""),$L268,IF($F268="You",0,IF($F268="Wife",$D268,IF($F268="Shared",$D268/2,0)))))</f>
        <v/>
      </c>
    </row>
    <row r="269" ht="15" customHeight="1" s="43">
      <c r="A269" s="45" t="n"/>
      <c r="B269" s="46" t="n"/>
      <c r="C269" s="46" t="n"/>
      <c r="D269" s="47" t="n"/>
      <c r="E269" s="46" t="n"/>
      <c r="F269" s="46" t="n"/>
      <c r="G269" s="46" t="n"/>
      <c r="H269" s="46" t="n"/>
      <c r="I269" s="46">
        <f>IF($A269="","",TEXT($A269,"YYYY-MM"))</f>
        <v/>
      </c>
      <c r="J269" s="46" t="n"/>
      <c r="K269" s="48" t="n"/>
      <c r="L269" s="48" t="n"/>
      <c r="M269" s="49">
        <f>IF($A269="","",IF(AND($K269&lt;&gt;"",$L269&lt;&gt;""),$K269,IF($F269="You",$D269,IF($F269="Wife",0,IF($F269="Shared",$D269/2,0)))))</f>
        <v/>
      </c>
      <c r="N269" s="49">
        <f>IF($A269="","",IF(AND($K269&lt;&gt;"",$L269&lt;&gt;""),$L269,IF($F269="You",0,IF($F269="Wife",$D269,IF($F269="Shared",$D269/2,0)))))</f>
        <v/>
      </c>
    </row>
    <row r="270" ht="15" customHeight="1" s="43">
      <c r="A270" s="50" t="n"/>
      <c r="B270" s="51" t="n"/>
      <c r="C270" s="51" t="n"/>
      <c r="D270" s="52" t="n"/>
      <c r="E270" s="51" t="n"/>
      <c r="F270" s="51" t="n"/>
      <c r="G270" s="51" t="n"/>
      <c r="H270" s="51" t="n"/>
      <c r="I270" s="51">
        <f>IF($A270="","",TEXT($A270,"YYYY-MM"))</f>
        <v/>
      </c>
      <c r="J270" s="51" t="n"/>
      <c r="K270" s="53" t="n"/>
      <c r="L270" s="53" t="n"/>
      <c r="M270" s="54">
        <f>IF($A270="","",IF(AND($K270&lt;&gt;"",$L270&lt;&gt;""),$K270,IF($F270="You",$D270,IF($F270="Wife",0,IF($F270="Shared",$D270/2,0)))))</f>
        <v/>
      </c>
      <c r="N270" s="54">
        <f>IF($A270="","",IF(AND($K270&lt;&gt;"",$L270&lt;&gt;""),$L270,IF($F270="You",0,IF($F270="Wife",$D270,IF($F270="Shared",$D270/2,0)))))</f>
        <v/>
      </c>
    </row>
    <row r="271" ht="15" customHeight="1" s="43">
      <c r="A271" s="45" t="n"/>
      <c r="B271" s="46" t="n"/>
      <c r="C271" s="46" t="n"/>
      <c r="D271" s="47" t="n"/>
      <c r="E271" s="46" t="n"/>
      <c r="F271" s="46" t="n"/>
      <c r="G271" s="46" t="n"/>
      <c r="H271" s="46" t="n"/>
      <c r="I271" s="46">
        <f>IF($A271="","",TEXT($A271,"YYYY-MM"))</f>
        <v/>
      </c>
      <c r="J271" s="46" t="n"/>
      <c r="K271" s="48" t="n"/>
      <c r="L271" s="48" t="n"/>
      <c r="M271" s="49">
        <f>IF($A271="","",IF(AND($K271&lt;&gt;"",$L271&lt;&gt;""),$K271,IF($F271="You",$D271,IF($F271="Wife",0,IF($F271="Shared",$D271/2,0)))))</f>
        <v/>
      </c>
      <c r="N271" s="49">
        <f>IF($A271="","",IF(AND($K271&lt;&gt;"",$L271&lt;&gt;""),$L271,IF($F271="You",0,IF($F271="Wife",$D271,IF($F271="Shared",$D271/2,0)))))</f>
        <v/>
      </c>
    </row>
    <row r="272" ht="15" customHeight="1" s="43">
      <c r="A272" s="50" t="n"/>
      <c r="B272" s="51" t="n"/>
      <c r="C272" s="51" t="n"/>
      <c r="D272" s="52" t="n"/>
      <c r="E272" s="51" t="n"/>
      <c r="F272" s="51" t="n"/>
      <c r="G272" s="51" t="n"/>
      <c r="H272" s="51" t="n"/>
      <c r="I272" s="51">
        <f>IF($A272="","",TEXT($A272,"YYYY-MM"))</f>
        <v/>
      </c>
      <c r="J272" s="51" t="n"/>
      <c r="K272" s="53" t="n"/>
      <c r="L272" s="53" t="n"/>
      <c r="M272" s="54">
        <f>IF($A272="","",IF(AND($K272&lt;&gt;"",$L272&lt;&gt;""),$K272,IF($F272="You",$D272,IF($F272="Wife",0,IF($F272="Shared",$D272/2,0)))))</f>
        <v/>
      </c>
      <c r="N272" s="54">
        <f>IF($A272="","",IF(AND($K272&lt;&gt;"",$L272&lt;&gt;""),$L272,IF($F272="You",0,IF($F272="Wife",$D272,IF($F272="Shared",$D272/2,0)))))</f>
        <v/>
      </c>
    </row>
    <row r="273" ht="15" customHeight="1" s="43">
      <c r="A273" s="45" t="n"/>
      <c r="B273" s="46" t="n"/>
      <c r="C273" s="46" t="n"/>
      <c r="D273" s="47" t="n"/>
      <c r="E273" s="46" t="n"/>
      <c r="F273" s="46" t="n"/>
      <c r="G273" s="46" t="n"/>
      <c r="H273" s="46" t="n"/>
      <c r="I273" s="46">
        <f>IF($A273="","",TEXT($A273,"YYYY-MM"))</f>
        <v/>
      </c>
      <c r="J273" s="46" t="n"/>
      <c r="K273" s="48" t="n"/>
      <c r="L273" s="48" t="n"/>
      <c r="M273" s="49">
        <f>IF($A273="","",IF(AND($K273&lt;&gt;"",$L273&lt;&gt;""),$K273,IF($F273="You",$D273,IF($F273="Wife",0,IF($F273="Shared",$D273/2,0)))))</f>
        <v/>
      </c>
      <c r="N273" s="49">
        <f>IF($A273="","",IF(AND($K273&lt;&gt;"",$L273&lt;&gt;""),$L273,IF($F273="You",0,IF($F273="Wife",$D273,IF($F273="Shared",$D273/2,0)))))</f>
        <v/>
      </c>
    </row>
    <row r="274" ht="15" customHeight="1" s="43">
      <c r="A274" s="50" t="n"/>
      <c r="B274" s="51" t="n"/>
      <c r="C274" s="51" t="n"/>
      <c r="D274" s="52" t="n"/>
      <c r="E274" s="51" t="n"/>
      <c r="F274" s="51" t="n"/>
      <c r="G274" s="51" t="n"/>
      <c r="H274" s="51" t="n"/>
      <c r="I274" s="51">
        <f>IF($A274="","",TEXT($A274,"YYYY-MM"))</f>
        <v/>
      </c>
      <c r="J274" s="51" t="n"/>
      <c r="K274" s="53" t="n"/>
      <c r="L274" s="53" t="n"/>
      <c r="M274" s="54">
        <f>IF($A274="","",IF(AND($K274&lt;&gt;"",$L274&lt;&gt;""),$K274,IF($F274="You",$D274,IF($F274="Wife",0,IF($F274="Shared",$D274/2,0)))))</f>
        <v/>
      </c>
      <c r="N274" s="54">
        <f>IF($A274="","",IF(AND($K274&lt;&gt;"",$L274&lt;&gt;""),$L274,IF($F274="You",0,IF($F274="Wife",$D274,IF($F274="Shared",$D274/2,0)))))</f>
        <v/>
      </c>
    </row>
    <row r="275" ht="15" customHeight="1" s="43">
      <c r="A275" s="45" t="n"/>
      <c r="B275" s="46" t="n"/>
      <c r="C275" s="46" t="n"/>
      <c r="D275" s="47" t="n"/>
      <c r="E275" s="46" t="n"/>
      <c r="F275" s="46" t="n"/>
      <c r="G275" s="46" t="n"/>
      <c r="H275" s="46" t="n"/>
      <c r="I275" s="46">
        <f>IF($A275="","",TEXT($A275,"YYYY-MM"))</f>
        <v/>
      </c>
      <c r="J275" s="46" t="n"/>
      <c r="K275" s="48" t="n"/>
      <c r="L275" s="48" t="n"/>
      <c r="M275" s="49">
        <f>IF($A275="","",IF(AND($K275&lt;&gt;"",$L275&lt;&gt;""),$K275,IF($F275="You",$D275,IF($F275="Wife",0,IF($F275="Shared",$D275/2,0)))))</f>
        <v/>
      </c>
      <c r="N275" s="49">
        <f>IF($A275="","",IF(AND($K275&lt;&gt;"",$L275&lt;&gt;""),$L275,IF($F275="You",0,IF($F275="Wife",$D275,IF($F275="Shared",$D275/2,0)))))</f>
        <v/>
      </c>
    </row>
    <row r="276" ht="15" customHeight="1" s="43">
      <c r="A276" s="50" t="n"/>
      <c r="B276" s="51" t="n"/>
      <c r="C276" s="51" t="n"/>
      <c r="D276" s="52" t="n"/>
      <c r="E276" s="51" t="n"/>
      <c r="F276" s="51" t="n"/>
      <c r="G276" s="51" t="n"/>
      <c r="H276" s="51" t="n"/>
      <c r="I276" s="51">
        <f>IF($A276="","",TEXT($A276,"YYYY-MM"))</f>
        <v/>
      </c>
      <c r="J276" s="51" t="n"/>
      <c r="K276" s="53" t="n"/>
      <c r="L276" s="53" t="n"/>
      <c r="M276" s="54">
        <f>IF($A276="","",IF(AND($K276&lt;&gt;"",$L276&lt;&gt;""),$K276,IF($F276="You",$D276,IF($F276="Wife",0,IF($F276="Shared",$D276/2,0)))))</f>
        <v/>
      </c>
      <c r="N276" s="54">
        <f>IF($A276="","",IF(AND($K276&lt;&gt;"",$L276&lt;&gt;""),$L276,IF($F276="You",0,IF($F276="Wife",$D276,IF($F276="Shared",$D276/2,0)))))</f>
        <v/>
      </c>
    </row>
    <row r="277" ht="15" customHeight="1" s="43">
      <c r="A277" s="45" t="n"/>
      <c r="B277" s="46" t="n"/>
      <c r="C277" s="46" t="n"/>
      <c r="D277" s="47" t="n"/>
      <c r="E277" s="46" t="n"/>
      <c r="F277" s="46" t="n"/>
      <c r="G277" s="46" t="n"/>
      <c r="H277" s="46" t="n"/>
      <c r="I277" s="46">
        <f>IF($A277="","",TEXT($A277,"YYYY-MM"))</f>
        <v/>
      </c>
      <c r="J277" s="46" t="n"/>
      <c r="K277" s="48" t="n"/>
      <c r="L277" s="48" t="n"/>
      <c r="M277" s="49">
        <f>IF($A277="","",IF(AND($K277&lt;&gt;"",$L277&lt;&gt;""),$K277,IF($F277="You",$D277,IF($F277="Wife",0,IF($F277="Shared",$D277/2,0)))))</f>
        <v/>
      </c>
      <c r="N277" s="49">
        <f>IF($A277="","",IF(AND($K277&lt;&gt;"",$L277&lt;&gt;""),$L277,IF($F277="You",0,IF($F277="Wife",$D277,IF($F277="Shared",$D277/2,0)))))</f>
        <v/>
      </c>
    </row>
    <row r="278" ht="15" customHeight="1" s="43">
      <c r="A278" s="50" t="n"/>
      <c r="B278" s="51" t="n"/>
      <c r="C278" s="51" t="n"/>
      <c r="D278" s="52" t="n"/>
      <c r="E278" s="51" t="n"/>
      <c r="F278" s="51" t="n"/>
      <c r="G278" s="51" t="n"/>
      <c r="H278" s="51" t="n"/>
      <c r="I278" s="51">
        <f>IF($A278="","",TEXT($A278,"YYYY-MM"))</f>
        <v/>
      </c>
      <c r="J278" s="51" t="n"/>
      <c r="K278" s="53" t="n"/>
      <c r="L278" s="53" t="n"/>
      <c r="M278" s="54">
        <f>IF($A278="","",IF(AND($K278&lt;&gt;"",$L278&lt;&gt;""),$K278,IF($F278="You",$D278,IF($F278="Wife",0,IF($F278="Shared",$D278/2,0)))))</f>
        <v/>
      </c>
      <c r="N278" s="54">
        <f>IF($A278="","",IF(AND($K278&lt;&gt;"",$L278&lt;&gt;""),$L278,IF($F278="You",0,IF($F278="Wife",$D278,IF($F278="Shared",$D278/2,0)))))</f>
        <v/>
      </c>
    </row>
    <row r="279" ht="15" customHeight="1" s="43">
      <c r="A279" s="45" t="n"/>
      <c r="B279" s="46" t="n"/>
      <c r="C279" s="46" t="n"/>
      <c r="D279" s="47" t="n"/>
      <c r="E279" s="46" t="n"/>
      <c r="F279" s="46" t="n"/>
      <c r="G279" s="46" t="n"/>
      <c r="H279" s="46" t="n"/>
      <c r="I279" s="46">
        <f>IF($A279="","",TEXT($A279,"YYYY-MM"))</f>
        <v/>
      </c>
      <c r="J279" s="46" t="n"/>
      <c r="K279" s="48" t="n"/>
      <c r="L279" s="48" t="n"/>
      <c r="M279" s="49">
        <f>IF($A279="","",IF(AND($K279&lt;&gt;"",$L279&lt;&gt;""),$K279,IF($F279="You",$D279,IF($F279="Wife",0,IF($F279="Shared",$D279/2,0)))))</f>
        <v/>
      </c>
      <c r="N279" s="49">
        <f>IF($A279="","",IF(AND($K279&lt;&gt;"",$L279&lt;&gt;""),$L279,IF($F279="You",0,IF($F279="Wife",$D279,IF($F279="Shared",$D279/2,0)))))</f>
        <v/>
      </c>
    </row>
    <row r="280" ht="15" customHeight="1" s="43">
      <c r="A280" s="50" t="n"/>
      <c r="B280" s="51" t="n"/>
      <c r="C280" s="51" t="n"/>
      <c r="D280" s="52" t="n"/>
      <c r="E280" s="51" t="n"/>
      <c r="F280" s="51" t="n"/>
      <c r="G280" s="51" t="n"/>
      <c r="H280" s="51" t="n"/>
      <c r="I280" s="51">
        <f>IF($A280="","",TEXT($A280,"YYYY-MM"))</f>
        <v/>
      </c>
      <c r="J280" s="51" t="n"/>
      <c r="K280" s="53" t="n"/>
      <c r="L280" s="53" t="n"/>
      <c r="M280" s="54">
        <f>IF($A280="","",IF(AND($K280&lt;&gt;"",$L280&lt;&gt;""),$K280,IF($F280="You",$D280,IF($F280="Wife",0,IF($F280="Shared",$D280/2,0)))))</f>
        <v/>
      </c>
      <c r="N280" s="54">
        <f>IF($A280="","",IF(AND($K280&lt;&gt;"",$L280&lt;&gt;""),$L280,IF($F280="You",0,IF($F280="Wife",$D280,IF($F280="Shared",$D280/2,0)))))</f>
        <v/>
      </c>
    </row>
    <row r="281" ht="15" customHeight="1" s="43">
      <c r="A281" s="45" t="n"/>
      <c r="B281" s="46" t="n"/>
      <c r="C281" s="46" t="n"/>
      <c r="D281" s="47" t="n"/>
      <c r="E281" s="46" t="n"/>
      <c r="F281" s="46" t="n"/>
      <c r="G281" s="46" t="n"/>
      <c r="H281" s="46" t="n"/>
      <c r="I281" s="46">
        <f>IF($A281="","",TEXT($A281,"YYYY-MM"))</f>
        <v/>
      </c>
      <c r="J281" s="46" t="n"/>
      <c r="K281" s="48" t="n"/>
      <c r="L281" s="48" t="n"/>
      <c r="M281" s="49">
        <f>IF($A281="","",IF(AND($K281&lt;&gt;"",$L281&lt;&gt;""),$K281,IF($F281="You",$D281,IF($F281="Wife",0,IF($F281="Shared",$D281/2,0)))))</f>
        <v/>
      </c>
      <c r="N281" s="49">
        <f>IF($A281="","",IF(AND($K281&lt;&gt;"",$L281&lt;&gt;""),$L281,IF($F281="You",0,IF($F281="Wife",$D281,IF($F281="Shared",$D281/2,0)))))</f>
        <v/>
      </c>
    </row>
    <row r="282" ht="15" customHeight="1" s="43">
      <c r="A282" s="50" t="n"/>
      <c r="B282" s="51" t="n"/>
      <c r="C282" s="51" t="n"/>
      <c r="D282" s="52" t="n"/>
      <c r="E282" s="51" t="n"/>
      <c r="F282" s="51" t="n"/>
      <c r="G282" s="51" t="n"/>
      <c r="H282" s="51" t="n"/>
      <c r="I282" s="51">
        <f>IF($A282="","",TEXT($A282,"YYYY-MM"))</f>
        <v/>
      </c>
      <c r="J282" s="51" t="n"/>
      <c r="K282" s="53" t="n"/>
      <c r="L282" s="53" t="n"/>
      <c r="M282" s="54">
        <f>IF($A282="","",IF(AND($K282&lt;&gt;"",$L282&lt;&gt;""),$K282,IF($F282="You",$D282,IF($F282="Wife",0,IF($F282="Shared",$D282/2,0)))))</f>
        <v/>
      </c>
      <c r="N282" s="54">
        <f>IF($A282="","",IF(AND($K282&lt;&gt;"",$L282&lt;&gt;""),$L282,IF($F282="You",0,IF($F282="Wife",$D282,IF($F282="Shared",$D282/2,0)))))</f>
        <v/>
      </c>
    </row>
    <row r="283" ht="15" customHeight="1" s="43">
      <c r="A283" s="45" t="n"/>
      <c r="B283" s="46" t="n"/>
      <c r="C283" s="46" t="n"/>
      <c r="D283" s="47" t="n"/>
      <c r="E283" s="46" t="n"/>
      <c r="F283" s="46" t="n"/>
      <c r="G283" s="46" t="n"/>
      <c r="H283" s="46" t="n"/>
      <c r="I283" s="46">
        <f>IF($A283="","",TEXT($A283,"YYYY-MM"))</f>
        <v/>
      </c>
      <c r="J283" s="46" t="n"/>
      <c r="K283" s="48" t="n"/>
      <c r="L283" s="48" t="n"/>
      <c r="M283" s="49">
        <f>IF($A283="","",IF(AND($K283&lt;&gt;"",$L283&lt;&gt;""),$K283,IF($F283="You",$D283,IF($F283="Wife",0,IF($F283="Shared",$D283/2,0)))))</f>
        <v/>
      </c>
      <c r="N283" s="49">
        <f>IF($A283="","",IF(AND($K283&lt;&gt;"",$L283&lt;&gt;""),$L283,IF($F283="You",0,IF($F283="Wife",$D283,IF($F283="Shared",$D283/2,0)))))</f>
        <v/>
      </c>
    </row>
    <row r="284" ht="15" customHeight="1" s="43">
      <c r="A284" s="50" t="n"/>
      <c r="B284" s="51" t="n"/>
      <c r="C284" s="51" t="n"/>
      <c r="D284" s="52" t="n"/>
      <c r="E284" s="51" t="n"/>
      <c r="F284" s="51" t="n"/>
      <c r="G284" s="51" t="n"/>
      <c r="H284" s="51" t="n"/>
      <c r="I284" s="51">
        <f>IF($A284="","",TEXT($A284,"YYYY-MM"))</f>
        <v/>
      </c>
      <c r="J284" s="51" t="n"/>
      <c r="K284" s="53" t="n"/>
      <c r="L284" s="53" t="n"/>
      <c r="M284" s="54">
        <f>IF($A284="","",IF(AND($K284&lt;&gt;"",$L284&lt;&gt;""),$K284,IF($F284="You",$D284,IF($F284="Wife",0,IF($F284="Shared",$D284/2,0)))))</f>
        <v/>
      </c>
      <c r="N284" s="54">
        <f>IF($A284="","",IF(AND($K284&lt;&gt;"",$L284&lt;&gt;""),$L284,IF($F284="You",0,IF($F284="Wife",$D284,IF($F284="Shared",$D284/2,0)))))</f>
        <v/>
      </c>
    </row>
    <row r="285" ht="15" customHeight="1" s="43">
      <c r="A285" s="45" t="n"/>
      <c r="B285" s="46" t="n"/>
      <c r="C285" s="46" t="n"/>
      <c r="D285" s="47" t="n"/>
      <c r="E285" s="46" t="n"/>
      <c r="F285" s="46" t="n"/>
      <c r="G285" s="46" t="n"/>
      <c r="H285" s="46" t="n"/>
      <c r="I285" s="46">
        <f>IF($A285="","",TEXT($A285,"YYYY-MM"))</f>
        <v/>
      </c>
      <c r="J285" s="46" t="n"/>
      <c r="K285" s="48" t="n"/>
      <c r="L285" s="48" t="n"/>
      <c r="M285" s="49">
        <f>IF($A285="","",IF(AND($K285&lt;&gt;"",$L285&lt;&gt;""),$K285,IF($F285="You",$D285,IF($F285="Wife",0,IF($F285="Shared",$D285/2,0)))))</f>
        <v/>
      </c>
      <c r="N285" s="49">
        <f>IF($A285="","",IF(AND($K285&lt;&gt;"",$L285&lt;&gt;""),$L285,IF($F285="You",0,IF($F285="Wife",$D285,IF($F285="Shared",$D285/2,0)))))</f>
        <v/>
      </c>
    </row>
    <row r="286" ht="15" customHeight="1" s="43">
      <c r="A286" s="50" t="n"/>
      <c r="B286" s="51" t="n"/>
      <c r="C286" s="51" t="n"/>
      <c r="D286" s="52" t="n"/>
      <c r="E286" s="51" t="n"/>
      <c r="F286" s="51" t="n"/>
      <c r="G286" s="51" t="n"/>
      <c r="H286" s="51" t="n"/>
      <c r="I286" s="51">
        <f>IF($A286="","",TEXT($A286,"YYYY-MM"))</f>
        <v/>
      </c>
      <c r="J286" s="51" t="n"/>
      <c r="K286" s="53" t="n"/>
      <c r="L286" s="53" t="n"/>
      <c r="M286" s="54">
        <f>IF($A286="","",IF(AND($K286&lt;&gt;"",$L286&lt;&gt;""),$K286,IF($F286="You",$D286,IF($F286="Wife",0,IF($F286="Shared",$D286/2,0)))))</f>
        <v/>
      </c>
      <c r="N286" s="54">
        <f>IF($A286="","",IF(AND($K286&lt;&gt;"",$L286&lt;&gt;""),$L286,IF($F286="You",0,IF($F286="Wife",$D286,IF($F286="Shared",$D286/2,0)))))</f>
        <v/>
      </c>
    </row>
    <row r="287" ht="15" customHeight="1" s="43">
      <c r="A287" s="45" t="n"/>
      <c r="B287" s="46" t="n"/>
      <c r="C287" s="46" t="n"/>
      <c r="D287" s="47" t="n"/>
      <c r="E287" s="46" t="n"/>
      <c r="F287" s="46" t="n"/>
      <c r="G287" s="46" t="n"/>
      <c r="H287" s="46" t="n"/>
      <c r="I287" s="46">
        <f>IF($A287="","",TEXT($A287,"YYYY-MM"))</f>
        <v/>
      </c>
      <c r="J287" s="46" t="n"/>
      <c r="K287" s="48" t="n"/>
      <c r="L287" s="48" t="n"/>
      <c r="M287" s="49">
        <f>IF($A287="","",IF(AND($K287&lt;&gt;"",$L287&lt;&gt;""),$K287,IF($F287="You",$D287,IF($F287="Wife",0,IF($F287="Shared",$D287/2,0)))))</f>
        <v/>
      </c>
      <c r="N287" s="49">
        <f>IF($A287="","",IF(AND($K287&lt;&gt;"",$L287&lt;&gt;""),$L287,IF($F287="You",0,IF($F287="Wife",$D287,IF($F287="Shared",$D287/2,0)))))</f>
        <v/>
      </c>
    </row>
    <row r="288" ht="15" customHeight="1" s="43">
      <c r="A288" s="50" t="n"/>
      <c r="B288" s="51" t="n"/>
      <c r="C288" s="51" t="n"/>
      <c r="D288" s="52" t="n"/>
      <c r="E288" s="51" t="n"/>
      <c r="F288" s="51" t="n"/>
      <c r="G288" s="51" t="n"/>
      <c r="H288" s="51" t="n"/>
      <c r="I288" s="51">
        <f>IF($A288="","",TEXT($A288,"YYYY-MM"))</f>
        <v/>
      </c>
      <c r="J288" s="51" t="n"/>
      <c r="K288" s="53" t="n"/>
      <c r="L288" s="53" t="n"/>
      <c r="M288" s="54">
        <f>IF($A288="","",IF(AND($K288&lt;&gt;"",$L288&lt;&gt;""),$K288,IF($F288="You",$D288,IF($F288="Wife",0,IF($F288="Shared",$D288/2,0)))))</f>
        <v/>
      </c>
      <c r="N288" s="54">
        <f>IF($A288="","",IF(AND($K288&lt;&gt;"",$L288&lt;&gt;""),$L288,IF($F288="You",0,IF($F288="Wife",$D288,IF($F288="Shared",$D288/2,0)))))</f>
        <v/>
      </c>
    </row>
    <row r="289" ht="15" customHeight="1" s="43">
      <c r="A289" s="45" t="n"/>
      <c r="B289" s="46" t="n"/>
      <c r="C289" s="46" t="n"/>
      <c r="D289" s="47" t="n"/>
      <c r="E289" s="46" t="n"/>
      <c r="F289" s="46" t="n"/>
      <c r="G289" s="46" t="n"/>
      <c r="H289" s="46" t="n"/>
      <c r="I289" s="46">
        <f>IF($A289="","",TEXT($A289,"YYYY-MM"))</f>
        <v/>
      </c>
      <c r="J289" s="46" t="n"/>
      <c r="K289" s="48" t="n"/>
      <c r="L289" s="48" t="n"/>
      <c r="M289" s="49">
        <f>IF($A289="","",IF(AND($K289&lt;&gt;"",$L289&lt;&gt;""),$K289,IF($F289="You",$D289,IF($F289="Wife",0,IF($F289="Shared",$D289/2,0)))))</f>
        <v/>
      </c>
      <c r="N289" s="49">
        <f>IF($A289="","",IF(AND($K289&lt;&gt;"",$L289&lt;&gt;""),$L289,IF($F289="You",0,IF($F289="Wife",$D289,IF($F289="Shared",$D289/2,0)))))</f>
        <v/>
      </c>
    </row>
    <row r="290" ht="15" customHeight="1" s="43">
      <c r="A290" s="50" t="n"/>
      <c r="B290" s="51" t="n"/>
      <c r="C290" s="51" t="n"/>
      <c r="D290" s="52" t="n"/>
      <c r="E290" s="51" t="n"/>
      <c r="F290" s="51" t="n"/>
      <c r="G290" s="51" t="n"/>
      <c r="H290" s="51" t="n"/>
      <c r="I290" s="51">
        <f>IF($A290="","",TEXT($A290,"YYYY-MM"))</f>
        <v/>
      </c>
      <c r="J290" s="51" t="n"/>
      <c r="K290" s="53" t="n"/>
      <c r="L290" s="53" t="n"/>
      <c r="M290" s="54">
        <f>IF($A290="","",IF(AND($K290&lt;&gt;"",$L290&lt;&gt;""),$K290,IF($F290="You",$D290,IF($F290="Wife",0,IF($F290="Shared",$D290/2,0)))))</f>
        <v/>
      </c>
      <c r="N290" s="54">
        <f>IF($A290="","",IF(AND($K290&lt;&gt;"",$L290&lt;&gt;""),$L290,IF($F290="You",0,IF($F290="Wife",$D290,IF($F290="Shared",$D290/2,0)))))</f>
        <v/>
      </c>
    </row>
    <row r="291" ht="15" customHeight="1" s="43">
      <c r="A291" s="45" t="n"/>
      <c r="B291" s="46" t="n"/>
      <c r="C291" s="46" t="n"/>
      <c r="D291" s="47" t="n"/>
      <c r="E291" s="46" t="n"/>
      <c r="F291" s="46" t="n"/>
      <c r="G291" s="46" t="n"/>
      <c r="H291" s="46" t="n"/>
      <c r="I291" s="46">
        <f>IF($A291="","",TEXT($A291,"YYYY-MM"))</f>
        <v/>
      </c>
      <c r="J291" s="46" t="n"/>
      <c r="K291" s="48" t="n"/>
      <c r="L291" s="48" t="n"/>
      <c r="M291" s="49">
        <f>IF($A291="","",IF(AND($K291&lt;&gt;"",$L291&lt;&gt;""),$K291,IF($F291="You",$D291,IF($F291="Wife",0,IF($F291="Shared",$D291/2,0)))))</f>
        <v/>
      </c>
      <c r="N291" s="49">
        <f>IF($A291="","",IF(AND($K291&lt;&gt;"",$L291&lt;&gt;""),$L291,IF($F291="You",0,IF($F291="Wife",$D291,IF($F291="Shared",$D291/2,0)))))</f>
        <v/>
      </c>
    </row>
    <row r="292" ht="15" customHeight="1" s="43">
      <c r="A292" s="50" t="n"/>
      <c r="B292" s="51" t="n"/>
      <c r="C292" s="51" t="n"/>
      <c r="D292" s="52" t="n"/>
      <c r="E292" s="51" t="n"/>
      <c r="F292" s="51" t="n"/>
      <c r="G292" s="51" t="n"/>
      <c r="H292" s="51" t="n"/>
      <c r="I292" s="51">
        <f>IF($A292="","",TEXT($A292,"YYYY-MM"))</f>
        <v/>
      </c>
      <c r="J292" s="51" t="n"/>
      <c r="K292" s="53" t="n"/>
      <c r="L292" s="53" t="n"/>
      <c r="M292" s="54">
        <f>IF($A292="","",IF(AND($K292&lt;&gt;"",$L292&lt;&gt;""),$K292,IF($F292="You",$D292,IF($F292="Wife",0,IF($F292="Shared",$D292/2,0)))))</f>
        <v/>
      </c>
      <c r="N292" s="54">
        <f>IF($A292="","",IF(AND($K292&lt;&gt;"",$L292&lt;&gt;""),$L292,IF($F292="You",0,IF($F292="Wife",$D292,IF($F292="Shared",$D292/2,0)))))</f>
        <v/>
      </c>
    </row>
    <row r="293" ht="15" customHeight="1" s="43">
      <c r="A293" s="45" t="n"/>
      <c r="B293" s="46" t="n"/>
      <c r="C293" s="46" t="n"/>
      <c r="D293" s="47" t="n"/>
      <c r="E293" s="46" t="n"/>
      <c r="F293" s="46" t="n"/>
      <c r="G293" s="46" t="n"/>
      <c r="H293" s="46" t="n"/>
      <c r="I293" s="46">
        <f>IF($A293="","",TEXT($A293,"YYYY-MM"))</f>
        <v/>
      </c>
      <c r="J293" s="46" t="n"/>
      <c r="K293" s="48" t="n"/>
      <c r="L293" s="48" t="n"/>
      <c r="M293" s="49">
        <f>IF($A293="","",IF(AND($K293&lt;&gt;"",$L293&lt;&gt;""),$K293,IF($F293="You",$D293,IF($F293="Wife",0,IF($F293="Shared",$D293/2,0)))))</f>
        <v/>
      </c>
      <c r="N293" s="49">
        <f>IF($A293="","",IF(AND($K293&lt;&gt;"",$L293&lt;&gt;""),$L293,IF($F293="You",0,IF($F293="Wife",$D293,IF($F293="Shared",$D293/2,0)))))</f>
        <v/>
      </c>
    </row>
    <row r="294" ht="15" customHeight="1" s="43">
      <c r="A294" s="50" t="n"/>
      <c r="B294" s="51" t="n"/>
      <c r="C294" s="51" t="n"/>
      <c r="D294" s="52" t="n"/>
      <c r="E294" s="51" t="n"/>
      <c r="F294" s="51" t="n"/>
      <c r="G294" s="51" t="n"/>
      <c r="H294" s="51" t="n"/>
      <c r="I294" s="51">
        <f>IF($A294="","",TEXT($A294,"YYYY-MM"))</f>
        <v/>
      </c>
      <c r="J294" s="51" t="n"/>
      <c r="K294" s="53" t="n"/>
      <c r="L294" s="53" t="n"/>
      <c r="M294" s="54">
        <f>IF($A294="","",IF(AND($K294&lt;&gt;"",$L294&lt;&gt;""),$K294,IF($F294="You",$D294,IF($F294="Wife",0,IF($F294="Shared",$D294/2,0)))))</f>
        <v/>
      </c>
      <c r="N294" s="54">
        <f>IF($A294="","",IF(AND($K294&lt;&gt;"",$L294&lt;&gt;""),$L294,IF($F294="You",0,IF($F294="Wife",$D294,IF($F294="Shared",$D294/2,0)))))</f>
        <v/>
      </c>
    </row>
    <row r="295" ht="15" customHeight="1" s="43">
      <c r="A295" s="45" t="n"/>
      <c r="B295" s="46" t="n"/>
      <c r="C295" s="46" t="n"/>
      <c r="D295" s="47" t="n"/>
      <c r="E295" s="46" t="n"/>
      <c r="F295" s="46" t="n"/>
      <c r="G295" s="46" t="n"/>
      <c r="H295" s="46" t="n"/>
      <c r="I295" s="46">
        <f>IF($A295="","",TEXT($A295,"YYYY-MM"))</f>
        <v/>
      </c>
      <c r="J295" s="46" t="n"/>
      <c r="K295" s="48" t="n"/>
      <c r="L295" s="48" t="n"/>
      <c r="M295" s="49">
        <f>IF($A295="","",IF(AND($K295&lt;&gt;"",$L295&lt;&gt;""),$K295,IF($F295="You",$D295,IF($F295="Wife",0,IF($F295="Shared",$D295/2,0)))))</f>
        <v/>
      </c>
      <c r="N295" s="49">
        <f>IF($A295="","",IF(AND($K295&lt;&gt;"",$L295&lt;&gt;""),$L295,IF($F295="You",0,IF($F295="Wife",$D295,IF($F295="Shared",$D295/2,0)))))</f>
        <v/>
      </c>
    </row>
    <row r="296" ht="15" customHeight="1" s="43">
      <c r="A296" s="50" t="n"/>
      <c r="B296" s="51" t="n"/>
      <c r="C296" s="51" t="n"/>
      <c r="D296" s="52" t="n"/>
      <c r="E296" s="51" t="n"/>
      <c r="F296" s="51" t="n"/>
      <c r="G296" s="51" t="n"/>
      <c r="H296" s="51" t="n"/>
      <c r="I296" s="51">
        <f>IF($A296="","",TEXT($A296,"YYYY-MM"))</f>
        <v/>
      </c>
      <c r="J296" s="51" t="n"/>
      <c r="K296" s="53" t="n"/>
      <c r="L296" s="53" t="n"/>
      <c r="M296" s="54">
        <f>IF($A296="","",IF(AND($K296&lt;&gt;"",$L296&lt;&gt;""),$K296,IF($F296="You",$D296,IF($F296="Wife",0,IF($F296="Shared",$D296/2,0)))))</f>
        <v/>
      </c>
      <c r="N296" s="54">
        <f>IF($A296="","",IF(AND($K296&lt;&gt;"",$L296&lt;&gt;""),$L296,IF($F296="You",0,IF($F296="Wife",$D296,IF($F296="Shared",$D296/2,0)))))</f>
        <v/>
      </c>
    </row>
    <row r="297" ht="15" customHeight="1" s="43">
      <c r="A297" s="45" t="n"/>
      <c r="B297" s="46" t="n"/>
      <c r="C297" s="46" t="n"/>
      <c r="D297" s="47" t="n"/>
      <c r="E297" s="46" t="n"/>
      <c r="F297" s="46" t="n"/>
      <c r="G297" s="46" t="n"/>
      <c r="H297" s="46" t="n"/>
      <c r="I297" s="46">
        <f>IF($A297="","",TEXT($A297,"YYYY-MM"))</f>
        <v/>
      </c>
      <c r="J297" s="46" t="n"/>
      <c r="K297" s="48" t="n"/>
      <c r="L297" s="48" t="n"/>
      <c r="M297" s="49">
        <f>IF($A297="","",IF(AND($K297&lt;&gt;"",$L297&lt;&gt;""),$K297,IF($F297="You",$D297,IF($F297="Wife",0,IF($F297="Shared",$D297/2,0)))))</f>
        <v/>
      </c>
      <c r="N297" s="49">
        <f>IF($A297="","",IF(AND($K297&lt;&gt;"",$L297&lt;&gt;""),$L297,IF($F297="You",0,IF($F297="Wife",$D297,IF($F297="Shared",$D297/2,0)))))</f>
        <v/>
      </c>
    </row>
    <row r="298" ht="15" customHeight="1" s="43">
      <c r="A298" s="50" t="n"/>
      <c r="B298" s="51" t="n"/>
      <c r="C298" s="51" t="n"/>
      <c r="D298" s="52" t="n"/>
      <c r="E298" s="51" t="n"/>
      <c r="F298" s="51" t="n"/>
      <c r="G298" s="51" t="n"/>
      <c r="H298" s="51" t="n"/>
      <c r="I298" s="51">
        <f>IF($A298="","",TEXT($A298,"YYYY-MM"))</f>
        <v/>
      </c>
      <c r="J298" s="51" t="n"/>
      <c r="K298" s="53" t="n"/>
      <c r="L298" s="53" t="n"/>
      <c r="M298" s="54">
        <f>IF($A298="","",IF(AND($K298&lt;&gt;"",$L298&lt;&gt;""),$K298,IF($F298="You",$D298,IF($F298="Wife",0,IF($F298="Shared",$D298/2,0)))))</f>
        <v/>
      </c>
      <c r="N298" s="54">
        <f>IF($A298="","",IF(AND($K298&lt;&gt;"",$L298&lt;&gt;""),$L298,IF($F298="You",0,IF($F298="Wife",$D298,IF($F298="Shared",$D298/2,0)))))</f>
        <v/>
      </c>
    </row>
    <row r="299" ht="15" customHeight="1" s="43">
      <c r="A299" s="45" t="n"/>
      <c r="B299" s="46" t="n"/>
      <c r="C299" s="46" t="n"/>
      <c r="D299" s="47" t="n"/>
      <c r="E299" s="46" t="n"/>
      <c r="F299" s="46" t="n"/>
      <c r="G299" s="46" t="n"/>
      <c r="H299" s="46" t="n"/>
      <c r="I299" s="46">
        <f>IF($A299="","",TEXT($A299,"YYYY-MM"))</f>
        <v/>
      </c>
      <c r="J299" s="46" t="n"/>
      <c r="K299" s="48" t="n"/>
      <c r="L299" s="48" t="n"/>
      <c r="M299" s="49">
        <f>IF($A299="","",IF(AND($K299&lt;&gt;"",$L299&lt;&gt;""),$K299,IF($F299="You",$D299,IF($F299="Wife",0,IF($F299="Shared",$D299/2,0)))))</f>
        <v/>
      </c>
      <c r="N299" s="49">
        <f>IF($A299="","",IF(AND($K299&lt;&gt;"",$L299&lt;&gt;""),$L299,IF($F299="You",0,IF($F299="Wife",$D299,IF($F299="Shared",$D299/2,0)))))</f>
        <v/>
      </c>
    </row>
    <row r="300" ht="15" customHeight="1" s="43">
      <c r="A300" s="50" t="n"/>
      <c r="B300" s="51" t="n"/>
      <c r="C300" s="51" t="n"/>
      <c r="D300" s="52" t="n"/>
      <c r="E300" s="51" t="n"/>
      <c r="F300" s="51" t="n"/>
      <c r="G300" s="51" t="n"/>
      <c r="H300" s="51" t="n"/>
      <c r="I300" s="51">
        <f>IF($A300="","",TEXT($A300,"YYYY-MM"))</f>
        <v/>
      </c>
      <c r="J300" s="51" t="n"/>
      <c r="K300" s="53" t="n"/>
      <c r="L300" s="53" t="n"/>
      <c r="M300" s="54">
        <f>IF($A300="","",IF(AND($K300&lt;&gt;"",$L300&lt;&gt;""),$K300,IF($F300="You",$D300,IF($F300="Wife",0,IF($F300="Shared",$D300/2,0)))))</f>
        <v/>
      </c>
      <c r="N300" s="54">
        <f>IF($A300="","",IF(AND($K300&lt;&gt;"",$L300&lt;&gt;""),$L300,IF($F300="You",0,IF($F300="Wife",$D300,IF($F300="Shared",$D300/2,0)))))</f>
        <v/>
      </c>
    </row>
    <row r="301" ht="15" customHeight="1" s="43">
      <c r="A301" s="45" t="n"/>
      <c r="B301" s="46" t="n"/>
      <c r="C301" s="46" t="n"/>
      <c r="D301" s="47" t="n"/>
      <c r="E301" s="46" t="n"/>
      <c r="F301" s="46" t="n"/>
      <c r="G301" s="46" t="n"/>
      <c r="H301" s="46" t="n"/>
      <c r="I301" s="46">
        <f>IF($A301="","",TEXT($A301,"YYYY-MM"))</f>
        <v/>
      </c>
      <c r="J301" s="46" t="n"/>
      <c r="K301" s="48" t="n"/>
      <c r="L301" s="48" t="n"/>
      <c r="M301" s="49">
        <f>IF($A301="","",IF(AND($K301&lt;&gt;"",$L301&lt;&gt;""),$K301,IF($F301="You",$D301,IF($F301="Wife",0,IF($F301="Shared",$D301/2,0)))))</f>
        <v/>
      </c>
      <c r="N301" s="49">
        <f>IF($A301="","",IF(AND($K301&lt;&gt;"",$L301&lt;&gt;""),$L301,IF($F301="You",0,IF($F301="Wife",$D301,IF($F301="Shared",$D301/2,0)))))</f>
        <v/>
      </c>
    </row>
    <row r="302" ht="15" customHeight="1" s="43">
      <c r="A302" s="50" t="n"/>
      <c r="B302" s="51" t="n"/>
      <c r="C302" s="51" t="n"/>
      <c r="D302" s="52" t="n"/>
      <c r="E302" s="51" t="n"/>
      <c r="F302" s="51" t="n"/>
      <c r="G302" s="51" t="n"/>
      <c r="H302" s="51" t="n"/>
      <c r="I302" s="51">
        <f>IF($A302="","",TEXT($A302,"YYYY-MM"))</f>
        <v/>
      </c>
      <c r="J302" s="51" t="n"/>
      <c r="K302" s="53" t="n"/>
      <c r="L302" s="53" t="n"/>
      <c r="M302" s="54">
        <f>IF($A302="","",IF(AND($K302&lt;&gt;"",$L302&lt;&gt;""),$K302,IF($F302="You",$D302,IF($F302="Wife",0,IF($F302="Shared",$D302/2,0)))))</f>
        <v/>
      </c>
      <c r="N302" s="54">
        <f>IF($A302="","",IF(AND($K302&lt;&gt;"",$L302&lt;&gt;""),$L302,IF($F302="You",0,IF($F302="Wife",$D302,IF($F302="Shared",$D302/2,0)))))</f>
        <v/>
      </c>
    </row>
    <row r="303" ht="15" customHeight="1" s="43">
      <c r="A303" s="45" t="n"/>
      <c r="B303" s="46" t="n"/>
      <c r="C303" s="46" t="n"/>
      <c r="D303" s="47" t="n"/>
      <c r="E303" s="46" t="n"/>
      <c r="F303" s="46" t="n"/>
      <c r="G303" s="46" t="n"/>
      <c r="H303" s="46" t="n"/>
      <c r="I303" s="46">
        <f>IF($A303="","",TEXT($A303,"YYYY-MM"))</f>
        <v/>
      </c>
      <c r="J303" s="46" t="n"/>
      <c r="K303" s="48" t="n"/>
      <c r="L303" s="48" t="n"/>
      <c r="M303" s="49">
        <f>IF($A303="","",IF(AND($K303&lt;&gt;"",$L303&lt;&gt;""),$K303,IF($F303="You",$D303,IF($F303="Wife",0,IF($F303="Shared",$D303/2,0)))))</f>
        <v/>
      </c>
      <c r="N303" s="49">
        <f>IF($A303="","",IF(AND($K303&lt;&gt;"",$L303&lt;&gt;""),$L303,IF($F303="You",0,IF($F303="Wife",$D303,IF($F303="Shared",$D303/2,0)))))</f>
        <v/>
      </c>
    </row>
    <row r="304" ht="15" customHeight="1" s="43">
      <c r="A304" s="50" t="n"/>
      <c r="B304" s="51" t="n"/>
      <c r="C304" s="51" t="n"/>
      <c r="D304" s="52" t="n"/>
      <c r="E304" s="51" t="n"/>
      <c r="F304" s="51" t="n"/>
      <c r="G304" s="51" t="n"/>
      <c r="H304" s="51" t="n"/>
      <c r="I304" s="51">
        <f>IF($A304="","",TEXT($A304,"YYYY-MM"))</f>
        <v/>
      </c>
      <c r="J304" s="51" t="n"/>
      <c r="K304" s="53" t="n"/>
      <c r="L304" s="53" t="n"/>
      <c r="M304" s="54">
        <f>IF($A304="","",IF(AND($K304&lt;&gt;"",$L304&lt;&gt;""),$K304,IF($F304="You",$D304,IF($F304="Wife",0,IF($F304="Shared",$D304/2,0)))))</f>
        <v/>
      </c>
      <c r="N304" s="54">
        <f>IF($A304="","",IF(AND($K304&lt;&gt;"",$L304&lt;&gt;""),$L304,IF($F304="You",0,IF($F304="Wife",$D304,IF($F304="Shared",$D304/2,0)))))</f>
        <v/>
      </c>
    </row>
    <row r="305" ht="15" customHeight="1" s="43">
      <c r="A305" s="45" t="n"/>
      <c r="B305" s="46" t="n"/>
      <c r="C305" s="46" t="n"/>
      <c r="D305" s="47" t="n"/>
      <c r="E305" s="46" t="n"/>
      <c r="F305" s="46" t="n"/>
      <c r="G305" s="46" t="n"/>
      <c r="H305" s="46" t="n"/>
      <c r="I305" s="46">
        <f>IF($A305="","",TEXT($A305,"YYYY-MM"))</f>
        <v/>
      </c>
      <c r="J305" s="46" t="n"/>
      <c r="K305" s="48" t="n"/>
      <c r="L305" s="48" t="n"/>
      <c r="M305" s="49">
        <f>IF($A305="","",IF(AND($K305&lt;&gt;"",$L305&lt;&gt;""),$K305,IF($F305="You",$D305,IF($F305="Wife",0,IF($F305="Shared",$D305/2,0)))))</f>
        <v/>
      </c>
      <c r="N305" s="49">
        <f>IF($A305="","",IF(AND($K305&lt;&gt;"",$L305&lt;&gt;""),$L305,IF($F305="You",0,IF($F305="Wife",$D305,IF($F305="Shared",$D305/2,0)))))</f>
        <v/>
      </c>
    </row>
    <row r="306" ht="15" customHeight="1" s="43">
      <c r="A306" s="50" t="n"/>
      <c r="B306" s="51" t="n"/>
      <c r="C306" s="51" t="n"/>
      <c r="D306" s="52" t="n"/>
      <c r="E306" s="51" t="n"/>
      <c r="F306" s="51" t="n"/>
      <c r="G306" s="51" t="n"/>
      <c r="H306" s="51" t="n"/>
      <c r="I306" s="51">
        <f>IF($A306="","",TEXT($A306,"YYYY-MM"))</f>
        <v/>
      </c>
      <c r="J306" s="51" t="n"/>
      <c r="K306" s="53" t="n"/>
      <c r="L306" s="53" t="n"/>
      <c r="M306" s="54">
        <f>IF($A306="","",IF(AND($K306&lt;&gt;"",$L306&lt;&gt;""),$K306,IF($F306="You",$D306,IF($F306="Wife",0,IF($F306="Shared",$D306/2,0)))))</f>
        <v/>
      </c>
      <c r="N306" s="54">
        <f>IF($A306="","",IF(AND($K306&lt;&gt;"",$L306&lt;&gt;""),$L306,IF($F306="You",0,IF($F306="Wife",$D306,IF($F306="Shared",$D306/2,0)))))</f>
        <v/>
      </c>
    </row>
    <row r="307" ht="15" customHeight="1" s="43">
      <c r="A307" s="45" t="n"/>
      <c r="B307" s="46" t="n"/>
      <c r="C307" s="46" t="n"/>
      <c r="D307" s="47" t="n"/>
      <c r="E307" s="46" t="n"/>
      <c r="F307" s="46" t="n"/>
      <c r="G307" s="46" t="n"/>
      <c r="H307" s="46" t="n"/>
      <c r="I307" s="46">
        <f>IF($A307="","",TEXT($A307,"YYYY-MM"))</f>
        <v/>
      </c>
      <c r="J307" s="46" t="n"/>
      <c r="K307" s="48" t="n"/>
      <c r="L307" s="48" t="n"/>
      <c r="M307" s="49">
        <f>IF($A307="","",IF(AND($K307&lt;&gt;"",$L307&lt;&gt;""),$K307,IF($F307="You",$D307,IF($F307="Wife",0,IF($F307="Shared",$D307/2,0)))))</f>
        <v/>
      </c>
      <c r="N307" s="49">
        <f>IF($A307="","",IF(AND($K307&lt;&gt;"",$L307&lt;&gt;""),$L307,IF($F307="You",0,IF($F307="Wife",$D307,IF($F307="Shared",$D307/2,0)))))</f>
        <v/>
      </c>
    </row>
    <row r="308" ht="15" customHeight="1" s="43">
      <c r="A308" s="50" t="n"/>
      <c r="B308" s="51" t="n"/>
      <c r="C308" s="51" t="n"/>
      <c r="D308" s="52" t="n"/>
      <c r="E308" s="51" t="n"/>
      <c r="F308" s="51" t="n"/>
      <c r="G308" s="51" t="n"/>
      <c r="H308" s="51" t="n"/>
      <c r="I308" s="51">
        <f>IF($A308="","",TEXT($A308,"YYYY-MM"))</f>
        <v/>
      </c>
      <c r="J308" s="51" t="n"/>
      <c r="K308" s="53" t="n"/>
      <c r="L308" s="53" t="n"/>
      <c r="M308" s="54">
        <f>IF($A308="","",IF(AND($K308&lt;&gt;"",$L308&lt;&gt;""),$K308,IF($F308="You",$D308,IF($F308="Wife",0,IF($F308="Shared",$D308/2,0)))))</f>
        <v/>
      </c>
      <c r="N308" s="54">
        <f>IF($A308="","",IF(AND($K308&lt;&gt;"",$L308&lt;&gt;""),$L308,IF($F308="You",0,IF($F308="Wife",$D308,IF($F308="Shared",$D308/2,0)))))</f>
        <v/>
      </c>
    </row>
    <row r="309" ht="15" customHeight="1" s="43">
      <c r="A309" s="45" t="n"/>
      <c r="B309" s="46" t="n"/>
      <c r="C309" s="46" t="n"/>
      <c r="D309" s="47" t="n"/>
      <c r="E309" s="46" t="n"/>
      <c r="F309" s="46" t="n"/>
      <c r="G309" s="46" t="n"/>
      <c r="H309" s="46" t="n"/>
      <c r="I309" s="46">
        <f>IF($A309="","",TEXT($A309,"YYYY-MM"))</f>
        <v/>
      </c>
      <c r="J309" s="46" t="n"/>
      <c r="K309" s="48" t="n"/>
      <c r="L309" s="48" t="n"/>
      <c r="M309" s="49">
        <f>IF($A309="","",IF(AND($K309&lt;&gt;"",$L309&lt;&gt;""),$K309,IF($F309="You",$D309,IF($F309="Wife",0,IF($F309="Shared",$D309/2,0)))))</f>
        <v/>
      </c>
      <c r="N309" s="49">
        <f>IF($A309="","",IF(AND($K309&lt;&gt;"",$L309&lt;&gt;""),$L309,IF($F309="You",0,IF($F309="Wife",$D309,IF($F309="Shared",$D309/2,0)))))</f>
        <v/>
      </c>
    </row>
    <row r="310" ht="15" customHeight="1" s="43">
      <c r="A310" s="50" t="n"/>
      <c r="B310" s="51" t="n"/>
      <c r="C310" s="51" t="n"/>
      <c r="D310" s="52" t="n"/>
      <c r="E310" s="51" t="n"/>
      <c r="F310" s="51" t="n"/>
      <c r="G310" s="51" t="n"/>
      <c r="H310" s="51" t="n"/>
      <c r="I310" s="51">
        <f>IF($A310="","",TEXT($A310,"YYYY-MM"))</f>
        <v/>
      </c>
      <c r="J310" s="51" t="n"/>
      <c r="K310" s="53" t="n"/>
      <c r="L310" s="53" t="n"/>
      <c r="M310" s="54">
        <f>IF($A310="","",IF(AND($K310&lt;&gt;"",$L310&lt;&gt;""),$K310,IF($F310="You",$D310,IF($F310="Wife",0,IF($F310="Shared",$D310/2,0)))))</f>
        <v/>
      </c>
      <c r="N310" s="54">
        <f>IF($A310="","",IF(AND($K310&lt;&gt;"",$L310&lt;&gt;""),$L310,IF($F310="You",0,IF($F310="Wife",$D310,IF($F310="Shared",$D310/2,0)))))</f>
        <v/>
      </c>
    </row>
    <row r="311" ht="15" customHeight="1" s="43">
      <c r="A311" s="45" t="n"/>
      <c r="B311" s="46" t="n"/>
      <c r="C311" s="46" t="n"/>
      <c r="D311" s="47" t="n"/>
      <c r="E311" s="46" t="n"/>
      <c r="F311" s="46" t="n"/>
      <c r="G311" s="46" t="n"/>
      <c r="H311" s="46" t="n"/>
      <c r="I311" s="46">
        <f>IF($A311="","",TEXT($A311,"YYYY-MM"))</f>
        <v/>
      </c>
      <c r="J311" s="46" t="n"/>
      <c r="K311" s="48" t="n"/>
      <c r="L311" s="48" t="n"/>
      <c r="M311" s="49">
        <f>IF($A311="","",IF(AND($K311&lt;&gt;"",$L311&lt;&gt;""),$K311,IF($F311="You",$D311,IF($F311="Wife",0,IF($F311="Shared",$D311/2,0)))))</f>
        <v/>
      </c>
      <c r="N311" s="49">
        <f>IF($A311="","",IF(AND($K311&lt;&gt;"",$L311&lt;&gt;""),$L311,IF($F311="You",0,IF($F311="Wife",$D311,IF($F311="Shared",$D311/2,0)))))</f>
        <v/>
      </c>
    </row>
    <row r="312" ht="15" customHeight="1" s="43">
      <c r="A312" s="50" t="n"/>
      <c r="B312" s="51" t="n"/>
      <c r="C312" s="51" t="n"/>
      <c r="D312" s="52" t="n"/>
      <c r="E312" s="51" t="n"/>
      <c r="F312" s="51" t="n"/>
      <c r="G312" s="51" t="n"/>
      <c r="H312" s="51" t="n"/>
      <c r="I312" s="51">
        <f>IF($A312="","",TEXT($A312,"YYYY-MM"))</f>
        <v/>
      </c>
      <c r="J312" s="51" t="n"/>
      <c r="K312" s="53" t="n"/>
      <c r="L312" s="53" t="n"/>
      <c r="M312" s="54">
        <f>IF($A312="","",IF(AND($K312&lt;&gt;"",$L312&lt;&gt;""),$K312,IF($F312="You",$D312,IF($F312="Wife",0,IF($F312="Shared",$D312/2,0)))))</f>
        <v/>
      </c>
      <c r="N312" s="54">
        <f>IF($A312="","",IF(AND($K312&lt;&gt;"",$L312&lt;&gt;""),$L312,IF($F312="You",0,IF($F312="Wife",$D312,IF($F312="Shared",$D312/2,0)))))</f>
        <v/>
      </c>
    </row>
    <row r="313" ht="15" customHeight="1" s="43">
      <c r="A313" s="45" t="n"/>
      <c r="B313" s="46" t="n"/>
      <c r="C313" s="46" t="n"/>
      <c r="D313" s="47" t="n"/>
      <c r="E313" s="46" t="n"/>
      <c r="F313" s="46" t="n"/>
      <c r="G313" s="46" t="n"/>
      <c r="H313" s="46" t="n"/>
      <c r="I313" s="46">
        <f>IF($A313="","",TEXT($A313,"YYYY-MM"))</f>
        <v/>
      </c>
      <c r="J313" s="46" t="n"/>
      <c r="K313" s="48" t="n"/>
      <c r="L313" s="48" t="n"/>
      <c r="M313" s="49">
        <f>IF($A313="","",IF(AND($K313&lt;&gt;"",$L313&lt;&gt;""),$K313,IF($F313="You",$D313,IF($F313="Wife",0,IF($F313="Shared",$D313/2,0)))))</f>
        <v/>
      </c>
      <c r="N313" s="49">
        <f>IF($A313="","",IF(AND($K313&lt;&gt;"",$L313&lt;&gt;""),$L313,IF($F313="You",0,IF($F313="Wife",$D313,IF($F313="Shared",$D313/2,0)))))</f>
        <v/>
      </c>
    </row>
    <row r="314" ht="15" customHeight="1" s="43">
      <c r="A314" s="50" t="n"/>
      <c r="B314" s="51" t="n"/>
      <c r="C314" s="51" t="n"/>
      <c r="D314" s="52" t="n"/>
      <c r="E314" s="51" t="n"/>
      <c r="F314" s="51" t="n"/>
      <c r="G314" s="51" t="n"/>
      <c r="H314" s="51" t="n"/>
      <c r="I314" s="51">
        <f>IF($A314="","",TEXT($A314,"YYYY-MM"))</f>
        <v/>
      </c>
      <c r="J314" s="51" t="n"/>
      <c r="K314" s="53" t="n"/>
      <c r="L314" s="53" t="n"/>
      <c r="M314" s="54">
        <f>IF($A314="","",IF(AND($K314&lt;&gt;"",$L314&lt;&gt;""),$K314,IF($F314="You",$D314,IF($F314="Wife",0,IF($F314="Shared",$D314/2,0)))))</f>
        <v/>
      </c>
      <c r="N314" s="54">
        <f>IF($A314="","",IF(AND($K314&lt;&gt;"",$L314&lt;&gt;""),$L314,IF($F314="You",0,IF($F314="Wife",$D314,IF($F314="Shared",$D314/2,0)))))</f>
        <v/>
      </c>
    </row>
    <row r="315" ht="15" customHeight="1" s="43">
      <c r="A315" s="45" t="n"/>
      <c r="B315" s="46" t="n"/>
      <c r="C315" s="46" t="n"/>
      <c r="D315" s="47" t="n"/>
      <c r="E315" s="46" t="n"/>
      <c r="F315" s="46" t="n"/>
      <c r="G315" s="46" t="n"/>
      <c r="H315" s="46" t="n"/>
      <c r="I315" s="46">
        <f>IF($A315="","",TEXT($A315,"YYYY-MM"))</f>
        <v/>
      </c>
      <c r="J315" s="46" t="n"/>
      <c r="K315" s="48" t="n"/>
      <c r="L315" s="48" t="n"/>
      <c r="M315" s="49">
        <f>IF($A315="","",IF(AND($K315&lt;&gt;"",$L315&lt;&gt;""),$K315,IF($F315="You",$D315,IF($F315="Wife",0,IF($F315="Shared",$D315/2,0)))))</f>
        <v/>
      </c>
      <c r="N315" s="49">
        <f>IF($A315="","",IF(AND($K315&lt;&gt;"",$L315&lt;&gt;""),$L315,IF($F315="You",0,IF($F315="Wife",$D315,IF($F315="Shared",$D315/2,0)))))</f>
        <v/>
      </c>
    </row>
    <row r="316" ht="15" customHeight="1" s="43">
      <c r="A316" s="50" t="n"/>
      <c r="B316" s="51" t="n"/>
      <c r="C316" s="51" t="n"/>
      <c r="D316" s="52" t="n"/>
      <c r="E316" s="51" t="n"/>
      <c r="F316" s="51" t="n"/>
      <c r="G316" s="51" t="n"/>
      <c r="H316" s="51" t="n"/>
      <c r="I316" s="51">
        <f>IF($A316="","",TEXT($A316,"YYYY-MM"))</f>
        <v/>
      </c>
      <c r="J316" s="51" t="n"/>
      <c r="K316" s="53" t="n"/>
      <c r="L316" s="53" t="n"/>
      <c r="M316" s="54">
        <f>IF($A316="","",IF(AND($K316&lt;&gt;"",$L316&lt;&gt;""),$K316,IF($F316="You",$D316,IF($F316="Wife",0,IF($F316="Shared",$D316/2,0)))))</f>
        <v/>
      </c>
      <c r="N316" s="54">
        <f>IF($A316="","",IF(AND($K316&lt;&gt;"",$L316&lt;&gt;""),$L316,IF($F316="You",0,IF($F316="Wife",$D316,IF($F316="Shared",$D316/2,0)))))</f>
        <v/>
      </c>
    </row>
    <row r="317" ht="15" customHeight="1" s="43">
      <c r="A317" s="45" t="n"/>
      <c r="B317" s="46" t="n"/>
      <c r="C317" s="46" t="n"/>
      <c r="D317" s="47" t="n"/>
      <c r="E317" s="46" t="n"/>
      <c r="F317" s="46" t="n"/>
      <c r="G317" s="46" t="n"/>
      <c r="H317" s="46" t="n"/>
      <c r="I317" s="46">
        <f>IF($A317="","",TEXT($A317,"YYYY-MM"))</f>
        <v/>
      </c>
      <c r="J317" s="46" t="n"/>
      <c r="K317" s="48" t="n"/>
      <c r="L317" s="48" t="n"/>
      <c r="M317" s="49">
        <f>IF($A317="","",IF(AND($K317&lt;&gt;"",$L317&lt;&gt;""),$K317,IF($F317="You",$D317,IF($F317="Wife",0,IF($F317="Shared",$D317/2,0)))))</f>
        <v/>
      </c>
      <c r="N317" s="49">
        <f>IF($A317="","",IF(AND($K317&lt;&gt;"",$L317&lt;&gt;""),$L317,IF($F317="You",0,IF($F317="Wife",$D317,IF($F317="Shared",$D317/2,0)))))</f>
        <v/>
      </c>
    </row>
    <row r="318" ht="15" customHeight="1" s="43">
      <c r="A318" s="50" t="n"/>
      <c r="B318" s="51" t="n"/>
      <c r="C318" s="51" t="n"/>
      <c r="D318" s="52" t="n"/>
      <c r="E318" s="51" t="n"/>
      <c r="F318" s="51" t="n"/>
      <c r="G318" s="51" t="n"/>
      <c r="H318" s="51" t="n"/>
      <c r="I318" s="51">
        <f>IF($A318="","",TEXT($A318,"YYYY-MM"))</f>
        <v/>
      </c>
      <c r="J318" s="51" t="n"/>
      <c r="K318" s="53" t="n"/>
      <c r="L318" s="53" t="n"/>
      <c r="M318" s="54">
        <f>IF($A318="","",IF(AND($K318&lt;&gt;"",$L318&lt;&gt;""),$K318,IF($F318="You",$D318,IF($F318="Wife",0,IF($F318="Shared",$D318/2,0)))))</f>
        <v/>
      </c>
      <c r="N318" s="54">
        <f>IF($A318="","",IF(AND($K318&lt;&gt;"",$L318&lt;&gt;""),$L318,IF($F318="You",0,IF($F318="Wife",$D318,IF($F318="Shared",$D318/2,0)))))</f>
        <v/>
      </c>
    </row>
    <row r="319" ht="15" customHeight="1" s="43">
      <c r="A319" s="45" t="n"/>
      <c r="B319" s="46" t="n"/>
      <c r="C319" s="46" t="n"/>
      <c r="D319" s="47" t="n"/>
      <c r="E319" s="46" t="n"/>
      <c r="F319" s="46" t="n"/>
      <c r="G319" s="46" t="n"/>
      <c r="H319" s="46" t="n"/>
      <c r="I319" s="46">
        <f>IF($A319="","",TEXT($A319,"YYYY-MM"))</f>
        <v/>
      </c>
      <c r="J319" s="46" t="n"/>
      <c r="K319" s="48" t="n"/>
      <c r="L319" s="48" t="n"/>
      <c r="M319" s="49">
        <f>IF($A319="","",IF(AND($K319&lt;&gt;"",$L319&lt;&gt;""),$K319,IF($F319="You",$D319,IF($F319="Wife",0,IF($F319="Shared",$D319/2,0)))))</f>
        <v/>
      </c>
      <c r="N319" s="49">
        <f>IF($A319="","",IF(AND($K319&lt;&gt;"",$L319&lt;&gt;""),$L319,IF($F319="You",0,IF($F319="Wife",$D319,IF($F319="Shared",$D319/2,0)))))</f>
        <v/>
      </c>
    </row>
    <row r="320" ht="15" customHeight="1" s="43">
      <c r="A320" s="50" t="n"/>
      <c r="B320" s="51" t="n"/>
      <c r="C320" s="51" t="n"/>
      <c r="D320" s="52" t="n"/>
      <c r="E320" s="51" t="n"/>
      <c r="F320" s="51" t="n"/>
      <c r="G320" s="51" t="n"/>
      <c r="H320" s="51" t="n"/>
      <c r="I320" s="51">
        <f>IF($A320="","",TEXT($A320,"YYYY-MM"))</f>
        <v/>
      </c>
      <c r="J320" s="51" t="n"/>
      <c r="K320" s="53" t="n"/>
      <c r="L320" s="53" t="n"/>
      <c r="M320" s="54">
        <f>IF($A320="","",IF(AND($K320&lt;&gt;"",$L320&lt;&gt;""),$K320,IF($F320="You",$D320,IF($F320="Wife",0,IF($F320="Shared",$D320/2,0)))))</f>
        <v/>
      </c>
      <c r="N320" s="54">
        <f>IF($A320="","",IF(AND($K320&lt;&gt;"",$L320&lt;&gt;""),$L320,IF($F320="You",0,IF($F320="Wife",$D320,IF($F320="Shared",$D320/2,0)))))</f>
        <v/>
      </c>
    </row>
    <row r="321" ht="15" customHeight="1" s="43">
      <c r="A321" s="45" t="n"/>
      <c r="B321" s="46" t="n"/>
      <c r="C321" s="46" t="n"/>
      <c r="D321" s="47" t="n"/>
      <c r="E321" s="46" t="n"/>
      <c r="F321" s="46" t="n"/>
      <c r="G321" s="46" t="n"/>
      <c r="H321" s="46" t="n"/>
      <c r="I321" s="46">
        <f>IF($A321="","",TEXT($A321,"YYYY-MM"))</f>
        <v/>
      </c>
      <c r="J321" s="46" t="n"/>
      <c r="K321" s="48" t="n"/>
      <c r="L321" s="48" t="n"/>
      <c r="M321" s="49">
        <f>IF($A321="","",IF(AND($K321&lt;&gt;"",$L321&lt;&gt;""),$K321,IF($F321="You",$D321,IF($F321="Wife",0,IF($F321="Shared",$D321/2,0)))))</f>
        <v/>
      </c>
      <c r="N321" s="49">
        <f>IF($A321="","",IF(AND($K321&lt;&gt;"",$L321&lt;&gt;""),$L321,IF($F321="You",0,IF($F321="Wife",$D321,IF($F321="Shared",$D321/2,0)))))</f>
        <v/>
      </c>
    </row>
    <row r="322" ht="15" customHeight="1" s="43">
      <c r="A322" s="50" t="n"/>
      <c r="B322" s="51" t="n"/>
      <c r="C322" s="51" t="n"/>
      <c r="D322" s="52" t="n"/>
      <c r="E322" s="51" t="n"/>
      <c r="F322" s="51" t="n"/>
      <c r="G322" s="51" t="n"/>
      <c r="H322" s="51" t="n"/>
      <c r="I322" s="51">
        <f>IF($A322="","",TEXT($A322,"YYYY-MM"))</f>
        <v/>
      </c>
      <c r="J322" s="51" t="n"/>
      <c r="K322" s="53" t="n"/>
      <c r="L322" s="53" t="n"/>
      <c r="M322" s="54">
        <f>IF($A322="","",IF(AND($K322&lt;&gt;"",$L322&lt;&gt;""),$K322,IF($F322="You",$D322,IF($F322="Wife",0,IF($F322="Shared",$D322/2,0)))))</f>
        <v/>
      </c>
      <c r="N322" s="54">
        <f>IF($A322="","",IF(AND($K322&lt;&gt;"",$L322&lt;&gt;""),$L322,IF($F322="You",0,IF($F322="Wife",$D322,IF($F322="Shared",$D322/2,0)))))</f>
        <v/>
      </c>
    </row>
    <row r="323" ht="15" customHeight="1" s="43">
      <c r="A323" s="45" t="n"/>
      <c r="B323" s="46" t="n"/>
      <c r="C323" s="46" t="n"/>
      <c r="D323" s="47" t="n"/>
      <c r="E323" s="46" t="n"/>
      <c r="F323" s="46" t="n"/>
      <c r="G323" s="46" t="n"/>
      <c r="H323" s="46" t="n"/>
      <c r="I323" s="46">
        <f>IF($A323="","",TEXT($A323,"YYYY-MM"))</f>
        <v/>
      </c>
      <c r="J323" s="46" t="n"/>
      <c r="K323" s="48" t="n"/>
      <c r="L323" s="48" t="n"/>
      <c r="M323" s="49">
        <f>IF($A323="","",IF(AND($K323&lt;&gt;"",$L323&lt;&gt;""),$K323,IF($F323="You",$D323,IF($F323="Wife",0,IF($F323="Shared",$D323/2,0)))))</f>
        <v/>
      </c>
      <c r="N323" s="49">
        <f>IF($A323="","",IF(AND($K323&lt;&gt;"",$L323&lt;&gt;""),$L323,IF($F323="You",0,IF($F323="Wife",$D323,IF($F323="Shared",$D323/2,0)))))</f>
        <v/>
      </c>
    </row>
    <row r="324" ht="15" customHeight="1" s="43">
      <c r="A324" s="50" t="n"/>
      <c r="B324" s="51" t="n"/>
      <c r="C324" s="51" t="n"/>
      <c r="D324" s="52" t="n"/>
      <c r="E324" s="51" t="n"/>
      <c r="F324" s="51" t="n"/>
      <c r="G324" s="51" t="n"/>
      <c r="H324" s="51" t="n"/>
      <c r="I324" s="51">
        <f>IF($A324="","",TEXT($A324,"YYYY-MM"))</f>
        <v/>
      </c>
      <c r="J324" s="51" t="n"/>
      <c r="K324" s="53" t="n"/>
      <c r="L324" s="53" t="n"/>
      <c r="M324" s="54">
        <f>IF($A324="","",IF(AND($K324&lt;&gt;"",$L324&lt;&gt;""),$K324,IF($F324="You",$D324,IF($F324="Wife",0,IF($F324="Shared",$D324/2,0)))))</f>
        <v/>
      </c>
      <c r="N324" s="54">
        <f>IF($A324="","",IF(AND($K324&lt;&gt;"",$L324&lt;&gt;""),$L324,IF($F324="You",0,IF($F324="Wife",$D324,IF($F324="Shared",$D324/2,0)))))</f>
        <v/>
      </c>
    </row>
    <row r="325" ht="15" customHeight="1" s="43">
      <c r="A325" s="45" t="n"/>
      <c r="B325" s="46" t="n"/>
      <c r="C325" s="46" t="n"/>
      <c r="D325" s="47" t="n"/>
      <c r="E325" s="46" t="n"/>
      <c r="F325" s="46" t="n"/>
      <c r="G325" s="46" t="n"/>
      <c r="H325" s="46" t="n"/>
      <c r="I325" s="46">
        <f>IF($A325="","",TEXT($A325,"YYYY-MM"))</f>
        <v/>
      </c>
      <c r="J325" s="46" t="n"/>
      <c r="K325" s="48" t="n"/>
      <c r="L325" s="48" t="n"/>
      <c r="M325" s="49">
        <f>IF($A325="","",IF(AND($K325&lt;&gt;"",$L325&lt;&gt;""),$K325,IF($F325="You",$D325,IF($F325="Wife",0,IF($F325="Shared",$D325/2,0)))))</f>
        <v/>
      </c>
      <c r="N325" s="49">
        <f>IF($A325="","",IF(AND($K325&lt;&gt;"",$L325&lt;&gt;""),$L325,IF($F325="You",0,IF($F325="Wife",$D325,IF($F325="Shared",$D325/2,0)))))</f>
        <v/>
      </c>
    </row>
    <row r="326" ht="15" customHeight="1" s="43">
      <c r="A326" s="50" t="n"/>
      <c r="B326" s="51" t="n"/>
      <c r="C326" s="51" t="n"/>
      <c r="D326" s="52" t="n"/>
      <c r="E326" s="51" t="n"/>
      <c r="F326" s="51" t="n"/>
      <c r="G326" s="51" t="n"/>
      <c r="H326" s="51" t="n"/>
      <c r="I326" s="51">
        <f>IF($A326="","",TEXT($A326,"YYYY-MM"))</f>
        <v/>
      </c>
      <c r="J326" s="51" t="n"/>
      <c r="K326" s="53" t="n"/>
      <c r="L326" s="53" t="n"/>
      <c r="M326" s="54">
        <f>IF($A326="","",IF(AND($K326&lt;&gt;"",$L326&lt;&gt;""),$K326,IF($F326="You",$D326,IF($F326="Wife",0,IF($F326="Shared",$D326/2,0)))))</f>
        <v/>
      </c>
      <c r="N326" s="54">
        <f>IF($A326="","",IF(AND($K326&lt;&gt;"",$L326&lt;&gt;""),$L326,IF($F326="You",0,IF($F326="Wife",$D326,IF($F326="Shared",$D326/2,0)))))</f>
        <v/>
      </c>
    </row>
    <row r="327" ht="15" customHeight="1" s="43">
      <c r="A327" s="45" t="n"/>
      <c r="B327" s="46" t="n"/>
      <c r="C327" s="46" t="n"/>
      <c r="D327" s="47" t="n"/>
      <c r="E327" s="46" t="n"/>
      <c r="F327" s="46" t="n"/>
      <c r="G327" s="46" t="n"/>
      <c r="H327" s="46" t="n"/>
      <c r="I327" s="46">
        <f>IF($A327="","",TEXT($A327,"YYYY-MM"))</f>
        <v/>
      </c>
      <c r="J327" s="46" t="n"/>
      <c r="K327" s="48" t="n"/>
      <c r="L327" s="48" t="n"/>
      <c r="M327" s="49">
        <f>IF($A327="","",IF(AND($K327&lt;&gt;"",$L327&lt;&gt;""),$K327,IF($F327="You",$D327,IF($F327="Wife",0,IF($F327="Shared",$D327/2,0)))))</f>
        <v/>
      </c>
      <c r="N327" s="49">
        <f>IF($A327="","",IF(AND($K327&lt;&gt;"",$L327&lt;&gt;""),$L327,IF($F327="You",0,IF($F327="Wife",$D327,IF($F327="Shared",$D327/2,0)))))</f>
        <v/>
      </c>
    </row>
    <row r="328" ht="15" customHeight="1" s="43">
      <c r="A328" s="50" t="n"/>
      <c r="B328" s="51" t="n"/>
      <c r="C328" s="51" t="n"/>
      <c r="D328" s="52" t="n"/>
      <c r="E328" s="51" t="n"/>
      <c r="F328" s="51" t="n"/>
      <c r="G328" s="51" t="n"/>
      <c r="H328" s="51" t="n"/>
      <c r="I328" s="51">
        <f>IF($A328="","",TEXT($A328,"YYYY-MM"))</f>
        <v/>
      </c>
      <c r="J328" s="51" t="n"/>
      <c r="K328" s="53" t="n"/>
      <c r="L328" s="53" t="n"/>
      <c r="M328" s="54">
        <f>IF($A328="","",IF(AND($K328&lt;&gt;"",$L328&lt;&gt;""),$K328,IF($F328="You",$D328,IF($F328="Wife",0,IF($F328="Shared",$D328/2,0)))))</f>
        <v/>
      </c>
      <c r="N328" s="54">
        <f>IF($A328="","",IF(AND($K328&lt;&gt;"",$L328&lt;&gt;""),$L328,IF($F328="You",0,IF($F328="Wife",$D328,IF($F328="Shared",$D328/2,0)))))</f>
        <v/>
      </c>
    </row>
    <row r="329" ht="15" customHeight="1" s="43">
      <c r="A329" s="45" t="n"/>
      <c r="B329" s="46" t="n"/>
      <c r="C329" s="46" t="n"/>
      <c r="D329" s="47" t="n"/>
      <c r="E329" s="46" t="n"/>
      <c r="F329" s="46" t="n"/>
      <c r="G329" s="46" t="n"/>
      <c r="H329" s="46" t="n"/>
      <c r="I329" s="46">
        <f>IF($A329="","",TEXT($A329,"YYYY-MM"))</f>
        <v/>
      </c>
      <c r="J329" s="46" t="n"/>
      <c r="K329" s="48" t="n"/>
      <c r="L329" s="48" t="n"/>
      <c r="M329" s="49">
        <f>IF($A329="","",IF(AND($K329&lt;&gt;"",$L329&lt;&gt;""),$K329,IF($F329="You",$D329,IF($F329="Wife",0,IF($F329="Shared",$D329/2,0)))))</f>
        <v/>
      </c>
      <c r="N329" s="49">
        <f>IF($A329="","",IF(AND($K329&lt;&gt;"",$L329&lt;&gt;""),$L329,IF($F329="You",0,IF($F329="Wife",$D329,IF($F329="Shared",$D329/2,0)))))</f>
        <v/>
      </c>
    </row>
    <row r="330" ht="15" customHeight="1" s="43">
      <c r="A330" s="50" t="n"/>
      <c r="B330" s="51" t="n"/>
      <c r="C330" s="51" t="n"/>
      <c r="D330" s="52" t="n"/>
      <c r="E330" s="51" t="n"/>
      <c r="F330" s="51" t="n"/>
      <c r="G330" s="51" t="n"/>
      <c r="H330" s="51" t="n"/>
      <c r="I330" s="51">
        <f>IF($A330="","",TEXT($A330,"YYYY-MM"))</f>
        <v/>
      </c>
      <c r="J330" s="51" t="n"/>
      <c r="K330" s="53" t="n"/>
      <c r="L330" s="53" t="n"/>
      <c r="M330" s="54">
        <f>IF($A330="","",IF(AND($K330&lt;&gt;"",$L330&lt;&gt;""),$K330,IF($F330="You",$D330,IF($F330="Wife",0,IF($F330="Shared",$D330/2,0)))))</f>
        <v/>
      </c>
      <c r="N330" s="54">
        <f>IF($A330="","",IF(AND($K330&lt;&gt;"",$L330&lt;&gt;""),$L330,IF($F330="You",0,IF($F330="Wife",$D330,IF($F330="Shared",$D330/2,0)))))</f>
        <v/>
      </c>
    </row>
    <row r="331" ht="15" customHeight="1" s="43">
      <c r="A331" s="45" t="n"/>
      <c r="B331" s="46" t="n"/>
      <c r="C331" s="46" t="n"/>
      <c r="D331" s="47" t="n"/>
      <c r="E331" s="46" t="n"/>
      <c r="F331" s="46" t="n"/>
      <c r="G331" s="46" t="n"/>
      <c r="H331" s="46" t="n"/>
      <c r="I331" s="46">
        <f>IF($A331="","",TEXT($A331,"YYYY-MM"))</f>
        <v/>
      </c>
      <c r="J331" s="46" t="n"/>
      <c r="K331" s="48" t="n"/>
      <c r="L331" s="48" t="n"/>
      <c r="M331" s="49">
        <f>IF($A331="","",IF(AND($K331&lt;&gt;"",$L331&lt;&gt;""),$K331,IF($F331="You",$D331,IF($F331="Wife",0,IF($F331="Shared",$D331/2,0)))))</f>
        <v/>
      </c>
      <c r="N331" s="49">
        <f>IF($A331="","",IF(AND($K331&lt;&gt;"",$L331&lt;&gt;""),$L331,IF($F331="You",0,IF($F331="Wife",$D331,IF($F331="Shared",$D331/2,0)))))</f>
        <v/>
      </c>
    </row>
    <row r="332" ht="15" customHeight="1" s="43">
      <c r="A332" s="50" t="n"/>
      <c r="B332" s="51" t="n"/>
      <c r="C332" s="51" t="n"/>
      <c r="D332" s="52" t="n"/>
      <c r="E332" s="51" t="n"/>
      <c r="F332" s="51" t="n"/>
      <c r="G332" s="51" t="n"/>
      <c r="H332" s="51" t="n"/>
      <c r="I332" s="51">
        <f>IF($A332="","",TEXT($A332,"YYYY-MM"))</f>
        <v/>
      </c>
      <c r="J332" s="51" t="n"/>
      <c r="K332" s="53" t="n"/>
      <c r="L332" s="53" t="n"/>
      <c r="M332" s="54">
        <f>IF($A332="","",IF(AND($K332&lt;&gt;"",$L332&lt;&gt;""),$K332,IF($F332="You",$D332,IF($F332="Wife",0,IF($F332="Shared",$D332/2,0)))))</f>
        <v/>
      </c>
      <c r="N332" s="54">
        <f>IF($A332="","",IF(AND($K332&lt;&gt;"",$L332&lt;&gt;""),$L332,IF($F332="You",0,IF($F332="Wife",$D332,IF($F332="Shared",$D332/2,0)))))</f>
        <v/>
      </c>
    </row>
    <row r="333" ht="15" customHeight="1" s="43">
      <c r="A333" s="45" t="n"/>
      <c r="B333" s="46" t="n"/>
      <c r="C333" s="46" t="n"/>
      <c r="D333" s="47" t="n"/>
      <c r="E333" s="46" t="n"/>
      <c r="F333" s="46" t="n"/>
      <c r="G333" s="46" t="n"/>
      <c r="H333" s="46" t="n"/>
      <c r="I333" s="46">
        <f>IF($A333="","",TEXT($A333,"YYYY-MM"))</f>
        <v/>
      </c>
      <c r="J333" s="46" t="n"/>
      <c r="K333" s="48" t="n"/>
      <c r="L333" s="48" t="n"/>
      <c r="M333" s="49">
        <f>IF($A333="","",IF(AND($K333&lt;&gt;"",$L333&lt;&gt;""),$K333,IF($F333="You",$D333,IF($F333="Wife",0,IF($F333="Shared",$D333/2,0)))))</f>
        <v/>
      </c>
      <c r="N333" s="49">
        <f>IF($A333="","",IF(AND($K333&lt;&gt;"",$L333&lt;&gt;""),$L333,IF($F333="You",0,IF($F333="Wife",$D333,IF($F333="Shared",$D333/2,0)))))</f>
        <v/>
      </c>
    </row>
    <row r="334" ht="15" customHeight="1" s="43">
      <c r="A334" s="50" t="n"/>
      <c r="B334" s="51" t="n"/>
      <c r="C334" s="51" t="n"/>
      <c r="D334" s="52" t="n"/>
      <c r="E334" s="51" t="n"/>
      <c r="F334" s="51" t="n"/>
      <c r="G334" s="51" t="n"/>
      <c r="H334" s="51" t="n"/>
      <c r="I334" s="51">
        <f>IF($A334="","",TEXT($A334,"YYYY-MM"))</f>
        <v/>
      </c>
      <c r="J334" s="51" t="n"/>
      <c r="K334" s="53" t="n"/>
      <c r="L334" s="53" t="n"/>
      <c r="M334" s="54">
        <f>IF($A334="","",IF(AND($K334&lt;&gt;"",$L334&lt;&gt;""),$K334,IF($F334="You",$D334,IF($F334="Wife",0,IF($F334="Shared",$D334/2,0)))))</f>
        <v/>
      </c>
      <c r="N334" s="54">
        <f>IF($A334="","",IF(AND($K334&lt;&gt;"",$L334&lt;&gt;""),$L334,IF($F334="You",0,IF($F334="Wife",$D334,IF($F334="Shared",$D334/2,0)))))</f>
        <v/>
      </c>
    </row>
    <row r="335" ht="15" customHeight="1" s="43">
      <c r="A335" s="45" t="n"/>
      <c r="B335" s="46" t="n"/>
      <c r="C335" s="46" t="n"/>
      <c r="D335" s="47" t="n"/>
      <c r="E335" s="46" t="n"/>
      <c r="F335" s="46" t="n"/>
      <c r="G335" s="46" t="n"/>
      <c r="H335" s="46" t="n"/>
      <c r="I335" s="46">
        <f>IF($A335="","",TEXT($A335,"YYYY-MM"))</f>
        <v/>
      </c>
      <c r="J335" s="46" t="n"/>
      <c r="K335" s="48" t="n"/>
      <c r="L335" s="48" t="n"/>
      <c r="M335" s="49">
        <f>IF($A335="","",IF(AND($K335&lt;&gt;"",$L335&lt;&gt;""),$K335,IF($F335="You",$D335,IF($F335="Wife",0,IF($F335="Shared",$D335/2,0)))))</f>
        <v/>
      </c>
      <c r="N335" s="49">
        <f>IF($A335="","",IF(AND($K335&lt;&gt;"",$L335&lt;&gt;""),$L335,IF($F335="You",0,IF($F335="Wife",$D335,IF($F335="Shared",$D335/2,0)))))</f>
        <v/>
      </c>
    </row>
    <row r="336" ht="15" customHeight="1" s="43">
      <c r="A336" s="50" t="n"/>
      <c r="B336" s="51" t="n"/>
      <c r="C336" s="51" t="n"/>
      <c r="D336" s="52" t="n"/>
      <c r="E336" s="51" t="n"/>
      <c r="F336" s="51" t="n"/>
      <c r="G336" s="51" t="n"/>
      <c r="H336" s="51" t="n"/>
      <c r="I336" s="51">
        <f>IF($A336="","",TEXT($A336,"YYYY-MM"))</f>
        <v/>
      </c>
      <c r="J336" s="51" t="n"/>
      <c r="K336" s="53" t="n"/>
      <c r="L336" s="53" t="n"/>
      <c r="M336" s="54">
        <f>IF($A336="","",IF(AND($K336&lt;&gt;"",$L336&lt;&gt;""),$K336,IF($F336="You",$D336,IF($F336="Wife",0,IF($F336="Shared",$D336/2,0)))))</f>
        <v/>
      </c>
      <c r="N336" s="54">
        <f>IF($A336="","",IF(AND($K336&lt;&gt;"",$L336&lt;&gt;""),$L336,IF($F336="You",0,IF($F336="Wife",$D336,IF($F336="Shared",$D336/2,0)))))</f>
        <v/>
      </c>
    </row>
    <row r="337" ht="15" customHeight="1" s="43">
      <c r="A337" s="45" t="n"/>
      <c r="B337" s="46" t="n"/>
      <c r="C337" s="46" t="n"/>
      <c r="D337" s="47" t="n"/>
      <c r="E337" s="46" t="n"/>
      <c r="F337" s="46" t="n"/>
      <c r="G337" s="46" t="n"/>
      <c r="H337" s="46" t="n"/>
      <c r="I337" s="46">
        <f>IF($A337="","",TEXT($A337,"YYYY-MM"))</f>
        <v/>
      </c>
      <c r="J337" s="46" t="n"/>
      <c r="K337" s="48" t="n"/>
      <c r="L337" s="48" t="n"/>
      <c r="M337" s="49">
        <f>IF($A337="","",IF(AND($K337&lt;&gt;"",$L337&lt;&gt;""),$K337,IF($F337="You",$D337,IF($F337="Wife",0,IF($F337="Shared",$D337/2,0)))))</f>
        <v/>
      </c>
      <c r="N337" s="49">
        <f>IF($A337="","",IF(AND($K337&lt;&gt;"",$L337&lt;&gt;""),$L337,IF($F337="You",0,IF($F337="Wife",$D337,IF($F337="Shared",$D337/2,0)))))</f>
        <v/>
      </c>
    </row>
    <row r="338" ht="15" customHeight="1" s="43">
      <c r="A338" s="50" t="n"/>
      <c r="B338" s="51" t="n"/>
      <c r="C338" s="51" t="n"/>
      <c r="D338" s="52" t="n"/>
      <c r="E338" s="51" t="n"/>
      <c r="F338" s="51" t="n"/>
      <c r="G338" s="51" t="n"/>
      <c r="H338" s="51" t="n"/>
      <c r="I338" s="51">
        <f>IF($A338="","",TEXT($A338,"YYYY-MM"))</f>
        <v/>
      </c>
      <c r="J338" s="51" t="n"/>
      <c r="K338" s="53" t="n"/>
      <c r="L338" s="53" t="n"/>
      <c r="M338" s="54">
        <f>IF($A338="","",IF(AND($K338&lt;&gt;"",$L338&lt;&gt;""),$K338,IF($F338="You",$D338,IF($F338="Wife",0,IF($F338="Shared",$D338/2,0)))))</f>
        <v/>
      </c>
      <c r="N338" s="54">
        <f>IF($A338="","",IF(AND($K338&lt;&gt;"",$L338&lt;&gt;""),$L338,IF($F338="You",0,IF($F338="Wife",$D338,IF($F338="Shared",$D338/2,0)))))</f>
        <v/>
      </c>
    </row>
    <row r="339" ht="15" customHeight="1" s="43">
      <c r="A339" s="45" t="n"/>
      <c r="B339" s="46" t="n"/>
      <c r="C339" s="46" t="n"/>
      <c r="D339" s="47" t="n"/>
      <c r="E339" s="46" t="n"/>
      <c r="F339" s="46" t="n"/>
      <c r="G339" s="46" t="n"/>
      <c r="H339" s="46" t="n"/>
      <c r="I339" s="46">
        <f>IF($A339="","",TEXT($A339,"YYYY-MM"))</f>
        <v/>
      </c>
      <c r="J339" s="46" t="n"/>
      <c r="K339" s="48" t="n"/>
      <c r="L339" s="48" t="n"/>
      <c r="M339" s="49">
        <f>IF($A339="","",IF(AND($K339&lt;&gt;"",$L339&lt;&gt;""),$K339,IF($F339="You",$D339,IF($F339="Wife",0,IF($F339="Shared",$D339/2,0)))))</f>
        <v/>
      </c>
      <c r="N339" s="49">
        <f>IF($A339="","",IF(AND($K339&lt;&gt;"",$L339&lt;&gt;""),$L339,IF($F339="You",0,IF($F339="Wife",$D339,IF($F339="Shared",$D339/2,0)))))</f>
        <v/>
      </c>
    </row>
    <row r="340" ht="15" customHeight="1" s="43">
      <c r="A340" s="50" t="n"/>
      <c r="B340" s="51" t="n"/>
      <c r="C340" s="51" t="n"/>
      <c r="D340" s="52" t="n"/>
      <c r="E340" s="51" t="n"/>
      <c r="F340" s="51" t="n"/>
      <c r="G340" s="51" t="n"/>
      <c r="H340" s="51" t="n"/>
      <c r="I340" s="51">
        <f>IF($A340="","",TEXT($A340,"YYYY-MM"))</f>
        <v/>
      </c>
      <c r="J340" s="51" t="n"/>
      <c r="K340" s="53" t="n"/>
      <c r="L340" s="53" t="n"/>
      <c r="M340" s="54">
        <f>IF($A340="","",IF(AND($K340&lt;&gt;"",$L340&lt;&gt;""),$K340,IF($F340="You",$D340,IF($F340="Wife",0,IF($F340="Shared",$D340/2,0)))))</f>
        <v/>
      </c>
      <c r="N340" s="54">
        <f>IF($A340="","",IF(AND($K340&lt;&gt;"",$L340&lt;&gt;""),$L340,IF($F340="You",0,IF($F340="Wife",$D340,IF($F340="Shared",$D340/2,0)))))</f>
        <v/>
      </c>
    </row>
    <row r="341" ht="15" customHeight="1" s="43">
      <c r="A341" s="45" t="n"/>
      <c r="B341" s="46" t="n"/>
      <c r="C341" s="46" t="n"/>
      <c r="D341" s="47" t="n"/>
      <c r="E341" s="46" t="n"/>
      <c r="F341" s="46" t="n"/>
      <c r="G341" s="46" t="n"/>
      <c r="H341" s="46" t="n"/>
      <c r="I341" s="46">
        <f>IF($A341="","",TEXT($A341,"YYYY-MM"))</f>
        <v/>
      </c>
      <c r="J341" s="46" t="n"/>
      <c r="K341" s="48" t="n"/>
      <c r="L341" s="48" t="n"/>
      <c r="M341" s="49">
        <f>IF($A341="","",IF(AND($K341&lt;&gt;"",$L341&lt;&gt;""),$K341,IF($F341="You",$D341,IF($F341="Wife",0,IF($F341="Shared",$D341/2,0)))))</f>
        <v/>
      </c>
      <c r="N341" s="49">
        <f>IF($A341="","",IF(AND($K341&lt;&gt;"",$L341&lt;&gt;""),$L341,IF($F341="You",0,IF($F341="Wife",$D341,IF($F341="Shared",$D341/2,0)))))</f>
        <v/>
      </c>
    </row>
    <row r="342" ht="15" customHeight="1" s="43">
      <c r="A342" s="50" t="n"/>
      <c r="B342" s="51" t="n"/>
      <c r="C342" s="51" t="n"/>
      <c r="D342" s="52" t="n"/>
      <c r="E342" s="51" t="n"/>
      <c r="F342" s="51" t="n"/>
      <c r="G342" s="51" t="n"/>
      <c r="H342" s="51" t="n"/>
      <c r="I342" s="51">
        <f>IF($A342="","",TEXT($A342,"YYYY-MM"))</f>
        <v/>
      </c>
      <c r="J342" s="51" t="n"/>
      <c r="K342" s="53" t="n"/>
      <c r="L342" s="53" t="n"/>
      <c r="M342" s="54">
        <f>IF($A342="","",IF(AND($K342&lt;&gt;"",$L342&lt;&gt;""),$K342,IF($F342="You",$D342,IF($F342="Wife",0,IF($F342="Shared",$D342/2,0)))))</f>
        <v/>
      </c>
      <c r="N342" s="54">
        <f>IF($A342="","",IF(AND($K342&lt;&gt;"",$L342&lt;&gt;""),$L342,IF($F342="You",0,IF($F342="Wife",$D342,IF($F342="Shared",$D342/2,0)))))</f>
        <v/>
      </c>
    </row>
    <row r="343" ht="15" customHeight="1" s="43">
      <c r="A343" s="45" t="n"/>
      <c r="B343" s="46" t="n"/>
      <c r="C343" s="46" t="n"/>
      <c r="D343" s="47" t="n"/>
      <c r="E343" s="46" t="n"/>
      <c r="F343" s="46" t="n"/>
      <c r="G343" s="46" t="n"/>
      <c r="H343" s="46" t="n"/>
      <c r="I343" s="46">
        <f>IF($A343="","",TEXT($A343,"YYYY-MM"))</f>
        <v/>
      </c>
      <c r="J343" s="46" t="n"/>
      <c r="K343" s="48" t="n"/>
      <c r="L343" s="48" t="n"/>
      <c r="M343" s="49">
        <f>IF($A343="","",IF(AND($K343&lt;&gt;"",$L343&lt;&gt;""),$K343,IF($F343="You",$D343,IF($F343="Wife",0,IF($F343="Shared",$D343/2,0)))))</f>
        <v/>
      </c>
      <c r="N343" s="49">
        <f>IF($A343="","",IF(AND($K343&lt;&gt;"",$L343&lt;&gt;""),$L343,IF($F343="You",0,IF($F343="Wife",$D343,IF($F343="Shared",$D343/2,0)))))</f>
        <v/>
      </c>
    </row>
    <row r="344" ht="15" customHeight="1" s="43">
      <c r="A344" s="50" t="n"/>
      <c r="B344" s="51" t="n"/>
      <c r="C344" s="51" t="n"/>
      <c r="D344" s="52" t="n"/>
      <c r="E344" s="51" t="n"/>
      <c r="F344" s="51" t="n"/>
      <c r="G344" s="51" t="n"/>
      <c r="H344" s="51" t="n"/>
      <c r="I344" s="51">
        <f>IF($A344="","",TEXT($A344,"YYYY-MM"))</f>
        <v/>
      </c>
      <c r="J344" s="51" t="n"/>
      <c r="K344" s="53" t="n"/>
      <c r="L344" s="53" t="n"/>
      <c r="M344" s="54">
        <f>IF($A344="","",IF(AND($K344&lt;&gt;"",$L344&lt;&gt;""),$K344,IF($F344="You",$D344,IF($F344="Wife",0,IF($F344="Shared",$D344/2,0)))))</f>
        <v/>
      </c>
      <c r="N344" s="54">
        <f>IF($A344="","",IF(AND($K344&lt;&gt;"",$L344&lt;&gt;""),$L344,IF($F344="You",0,IF($F344="Wife",$D344,IF($F344="Shared",$D344/2,0)))))</f>
        <v/>
      </c>
    </row>
    <row r="345" ht="15" customHeight="1" s="43">
      <c r="A345" s="45" t="n"/>
      <c r="B345" s="46" t="n"/>
      <c r="C345" s="46" t="n"/>
      <c r="D345" s="47" t="n"/>
      <c r="E345" s="46" t="n"/>
      <c r="F345" s="46" t="n"/>
      <c r="G345" s="46" t="n"/>
      <c r="H345" s="46" t="n"/>
      <c r="I345" s="46">
        <f>IF($A345="","",TEXT($A345,"YYYY-MM"))</f>
        <v/>
      </c>
      <c r="J345" s="46" t="n"/>
      <c r="K345" s="48" t="n"/>
      <c r="L345" s="48" t="n"/>
      <c r="M345" s="49">
        <f>IF($A345="","",IF(AND($K345&lt;&gt;"",$L345&lt;&gt;""),$K345,IF($F345="You",$D345,IF($F345="Wife",0,IF($F345="Shared",$D345/2,0)))))</f>
        <v/>
      </c>
      <c r="N345" s="49">
        <f>IF($A345="","",IF(AND($K345&lt;&gt;"",$L345&lt;&gt;""),$L345,IF($F345="You",0,IF($F345="Wife",$D345,IF($F345="Shared",$D345/2,0)))))</f>
        <v/>
      </c>
    </row>
    <row r="346" ht="15" customHeight="1" s="43">
      <c r="A346" s="50" t="n"/>
      <c r="B346" s="51" t="n"/>
      <c r="C346" s="51" t="n"/>
      <c r="D346" s="52" t="n"/>
      <c r="E346" s="51" t="n"/>
      <c r="F346" s="51" t="n"/>
      <c r="G346" s="51" t="n"/>
      <c r="H346" s="51" t="n"/>
      <c r="I346" s="51">
        <f>IF($A346="","",TEXT($A346,"YYYY-MM"))</f>
        <v/>
      </c>
      <c r="J346" s="51" t="n"/>
      <c r="K346" s="53" t="n"/>
      <c r="L346" s="53" t="n"/>
      <c r="M346" s="54">
        <f>IF($A346="","",IF(AND($K346&lt;&gt;"",$L346&lt;&gt;""),$K346,IF($F346="You",$D346,IF($F346="Wife",0,IF($F346="Shared",$D346/2,0)))))</f>
        <v/>
      </c>
      <c r="N346" s="54">
        <f>IF($A346="","",IF(AND($K346&lt;&gt;"",$L346&lt;&gt;""),$L346,IF($F346="You",0,IF($F346="Wife",$D346,IF($F346="Shared",$D346/2,0)))))</f>
        <v/>
      </c>
    </row>
    <row r="347" ht="15" customHeight="1" s="43">
      <c r="A347" s="45" t="n"/>
      <c r="B347" s="46" t="n"/>
      <c r="C347" s="46" t="n"/>
      <c r="D347" s="47" t="n"/>
      <c r="E347" s="46" t="n"/>
      <c r="F347" s="46" t="n"/>
      <c r="G347" s="46" t="n"/>
      <c r="H347" s="46" t="n"/>
      <c r="I347" s="46">
        <f>IF($A347="","",TEXT($A347,"YYYY-MM"))</f>
        <v/>
      </c>
      <c r="J347" s="46" t="n"/>
      <c r="K347" s="48" t="n"/>
      <c r="L347" s="48" t="n"/>
      <c r="M347" s="49">
        <f>IF($A347="","",IF(AND($K347&lt;&gt;"",$L347&lt;&gt;""),$K347,IF($F347="You",$D347,IF($F347="Wife",0,IF($F347="Shared",$D347/2,0)))))</f>
        <v/>
      </c>
      <c r="N347" s="49">
        <f>IF($A347="","",IF(AND($K347&lt;&gt;"",$L347&lt;&gt;""),$L347,IF($F347="You",0,IF($F347="Wife",$D347,IF($F347="Shared",$D347/2,0)))))</f>
        <v/>
      </c>
    </row>
    <row r="348" ht="15" customHeight="1" s="43">
      <c r="A348" s="50" t="n"/>
      <c r="B348" s="51" t="n"/>
      <c r="C348" s="51" t="n"/>
      <c r="D348" s="52" t="n"/>
      <c r="E348" s="51" t="n"/>
      <c r="F348" s="51" t="n"/>
      <c r="G348" s="51" t="n"/>
      <c r="H348" s="51" t="n"/>
      <c r="I348" s="51">
        <f>IF($A348="","",TEXT($A348,"YYYY-MM"))</f>
        <v/>
      </c>
      <c r="J348" s="51" t="n"/>
      <c r="K348" s="53" t="n"/>
      <c r="L348" s="53" t="n"/>
      <c r="M348" s="54">
        <f>IF($A348="","",IF(AND($K348&lt;&gt;"",$L348&lt;&gt;""),$K348,IF($F348="You",$D348,IF($F348="Wife",0,IF($F348="Shared",$D348/2,0)))))</f>
        <v/>
      </c>
      <c r="N348" s="54">
        <f>IF($A348="","",IF(AND($K348&lt;&gt;"",$L348&lt;&gt;""),$L348,IF($F348="You",0,IF($F348="Wife",$D348,IF($F348="Shared",$D348/2,0)))))</f>
        <v/>
      </c>
    </row>
    <row r="349" ht="15" customHeight="1" s="43">
      <c r="A349" s="45" t="n"/>
      <c r="B349" s="46" t="n"/>
      <c r="C349" s="46" t="n"/>
      <c r="D349" s="47" t="n"/>
      <c r="E349" s="46" t="n"/>
      <c r="F349" s="46" t="n"/>
      <c r="G349" s="46" t="n"/>
      <c r="H349" s="46" t="n"/>
      <c r="I349" s="46">
        <f>IF($A349="","",TEXT($A349,"YYYY-MM"))</f>
        <v/>
      </c>
      <c r="J349" s="46" t="n"/>
      <c r="K349" s="48" t="n"/>
      <c r="L349" s="48" t="n"/>
      <c r="M349" s="49">
        <f>IF($A349="","",IF(AND($K349&lt;&gt;"",$L349&lt;&gt;""),$K349,IF($F349="You",$D349,IF($F349="Wife",0,IF($F349="Shared",$D349/2,0)))))</f>
        <v/>
      </c>
      <c r="N349" s="49">
        <f>IF($A349="","",IF(AND($K349&lt;&gt;"",$L349&lt;&gt;""),$L349,IF($F349="You",0,IF($F349="Wife",$D349,IF($F349="Shared",$D349/2,0)))))</f>
        <v/>
      </c>
    </row>
    <row r="350" ht="15" customHeight="1" s="43">
      <c r="A350" s="50" t="n"/>
      <c r="B350" s="51" t="n"/>
      <c r="C350" s="51" t="n"/>
      <c r="D350" s="52" t="n"/>
      <c r="E350" s="51" t="n"/>
      <c r="F350" s="51" t="n"/>
      <c r="G350" s="51" t="n"/>
      <c r="H350" s="51" t="n"/>
      <c r="I350" s="51">
        <f>IF($A350="","",TEXT($A350,"YYYY-MM"))</f>
        <v/>
      </c>
      <c r="J350" s="51" t="n"/>
      <c r="K350" s="53" t="n"/>
      <c r="L350" s="53" t="n"/>
      <c r="M350" s="54">
        <f>IF($A350="","",IF(AND($K350&lt;&gt;"",$L350&lt;&gt;""),$K350,IF($F350="You",$D350,IF($F350="Wife",0,IF($F350="Shared",$D350/2,0)))))</f>
        <v/>
      </c>
      <c r="N350" s="54">
        <f>IF($A350="","",IF(AND($K350&lt;&gt;"",$L350&lt;&gt;""),$L350,IF($F350="You",0,IF($F350="Wife",$D350,IF($F350="Shared",$D350/2,0)))))</f>
        <v/>
      </c>
    </row>
    <row r="351" ht="15" customHeight="1" s="43">
      <c r="A351" s="45" t="n"/>
      <c r="B351" s="46" t="n"/>
      <c r="C351" s="46" t="n"/>
      <c r="D351" s="47" t="n"/>
      <c r="E351" s="46" t="n"/>
      <c r="F351" s="46" t="n"/>
      <c r="G351" s="46" t="n"/>
      <c r="H351" s="46" t="n"/>
      <c r="I351" s="46">
        <f>IF($A351="","",TEXT($A351,"YYYY-MM"))</f>
        <v/>
      </c>
      <c r="J351" s="46" t="n"/>
      <c r="K351" s="48" t="n"/>
      <c r="L351" s="48" t="n"/>
      <c r="M351" s="49">
        <f>IF($A351="","",IF(AND($K351&lt;&gt;"",$L351&lt;&gt;""),$K351,IF($F351="You",$D351,IF($F351="Wife",0,IF($F351="Shared",$D351/2,0)))))</f>
        <v/>
      </c>
      <c r="N351" s="49">
        <f>IF($A351="","",IF(AND($K351&lt;&gt;"",$L351&lt;&gt;""),$L351,IF($F351="You",0,IF($F351="Wife",$D351,IF($F351="Shared",$D351/2,0)))))</f>
        <v/>
      </c>
    </row>
    <row r="352" ht="15" customHeight="1" s="43">
      <c r="A352" s="50" t="n"/>
      <c r="B352" s="51" t="n"/>
      <c r="C352" s="51" t="n"/>
      <c r="D352" s="52" t="n"/>
      <c r="E352" s="51" t="n"/>
      <c r="F352" s="51" t="n"/>
      <c r="G352" s="51" t="n"/>
      <c r="H352" s="51" t="n"/>
      <c r="I352" s="51">
        <f>IF($A352="","",TEXT($A352,"YYYY-MM"))</f>
        <v/>
      </c>
      <c r="J352" s="51" t="n"/>
      <c r="K352" s="53" t="n"/>
      <c r="L352" s="53" t="n"/>
      <c r="M352" s="54">
        <f>IF($A352="","",IF(AND($K352&lt;&gt;"",$L352&lt;&gt;""),$K352,IF($F352="You",$D352,IF($F352="Wife",0,IF($F352="Shared",$D352/2,0)))))</f>
        <v/>
      </c>
      <c r="N352" s="54">
        <f>IF($A352="","",IF(AND($K352&lt;&gt;"",$L352&lt;&gt;""),$L352,IF($F352="You",0,IF($F352="Wife",$D352,IF($F352="Shared",$D352/2,0)))))</f>
        <v/>
      </c>
    </row>
    <row r="353" ht="15" customHeight="1" s="43">
      <c r="A353" s="45" t="n"/>
      <c r="B353" s="46" t="n"/>
      <c r="C353" s="46" t="n"/>
      <c r="D353" s="47" t="n"/>
      <c r="E353" s="46" t="n"/>
      <c r="F353" s="46" t="n"/>
      <c r="G353" s="46" t="n"/>
      <c r="H353" s="46" t="n"/>
      <c r="I353" s="46">
        <f>IF($A353="","",TEXT($A353,"YYYY-MM"))</f>
        <v/>
      </c>
      <c r="J353" s="46" t="n"/>
      <c r="K353" s="48" t="n"/>
      <c r="L353" s="48" t="n"/>
      <c r="M353" s="49">
        <f>IF($A353="","",IF(AND($K353&lt;&gt;"",$L353&lt;&gt;""),$K353,IF($F353="You",$D353,IF($F353="Wife",0,IF($F353="Shared",$D353/2,0)))))</f>
        <v/>
      </c>
      <c r="N353" s="49">
        <f>IF($A353="","",IF(AND($K353&lt;&gt;"",$L353&lt;&gt;""),$L353,IF($F353="You",0,IF($F353="Wife",$D353,IF($F353="Shared",$D353/2,0)))))</f>
        <v/>
      </c>
    </row>
    <row r="354" ht="15" customHeight="1" s="43">
      <c r="A354" s="50" t="n"/>
      <c r="B354" s="51" t="n"/>
      <c r="C354" s="51" t="n"/>
      <c r="D354" s="52" t="n"/>
      <c r="E354" s="51" t="n"/>
      <c r="F354" s="51" t="n"/>
      <c r="G354" s="51" t="n"/>
      <c r="H354" s="51" t="n"/>
      <c r="I354" s="51">
        <f>IF($A354="","",TEXT($A354,"YYYY-MM"))</f>
        <v/>
      </c>
      <c r="J354" s="51" t="n"/>
      <c r="K354" s="53" t="n"/>
      <c r="L354" s="53" t="n"/>
      <c r="M354" s="54">
        <f>IF($A354="","",IF(AND($K354&lt;&gt;"",$L354&lt;&gt;""),$K354,IF($F354="You",$D354,IF($F354="Wife",0,IF($F354="Shared",$D354/2,0)))))</f>
        <v/>
      </c>
      <c r="N354" s="54">
        <f>IF($A354="","",IF(AND($K354&lt;&gt;"",$L354&lt;&gt;""),$L354,IF($F354="You",0,IF($F354="Wife",$D354,IF($F354="Shared",$D354/2,0)))))</f>
        <v/>
      </c>
    </row>
    <row r="355" ht="15" customHeight="1" s="43">
      <c r="A355" s="45" t="n"/>
      <c r="B355" s="46" t="n"/>
      <c r="C355" s="46" t="n"/>
      <c r="D355" s="47" t="n"/>
      <c r="E355" s="46" t="n"/>
      <c r="F355" s="46" t="n"/>
      <c r="G355" s="46" t="n"/>
      <c r="H355" s="46" t="n"/>
      <c r="I355" s="46">
        <f>IF($A355="","",TEXT($A355,"YYYY-MM"))</f>
        <v/>
      </c>
      <c r="J355" s="46" t="n"/>
      <c r="K355" s="48" t="n"/>
      <c r="L355" s="48" t="n"/>
      <c r="M355" s="49">
        <f>IF($A355="","",IF(AND($K355&lt;&gt;"",$L355&lt;&gt;""),$K355,IF($F355="You",$D355,IF($F355="Wife",0,IF($F355="Shared",$D355/2,0)))))</f>
        <v/>
      </c>
      <c r="N355" s="49">
        <f>IF($A355="","",IF(AND($K355&lt;&gt;"",$L355&lt;&gt;""),$L355,IF($F355="You",0,IF($F355="Wife",$D355,IF($F355="Shared",$D355/2,0)))))</f>
        <v/>
      </c>
    </row>
    <row r="356" ht="15" customHeight="1" s="43">
      <c r="A356" s="50" t="n"/>
      <c r="B356" s="51" t="n"/>
      <c r="C356" s="51" t="n"/>
      <c r="D356" s="52" t="n"/>
      <c r="E356" s="51" t="n"/>
      <c r="F356" s="51" t="n"/>
      <c r="G356" s="51" t="n"/>
      <c r="H356" s="51" t="n"/>
      <c r="I356" s="51">
        <f>IF($A356="","",TEXT($A356,"YYYY-MM"))</f>
        <v/>
      </c>
      <c r="J356" s="51" t="n"/>
      <c r="K356" s="53" t="n"/>
      <c r="L356" s="53" t="n"/>
      <c r="M356" s="54">
        <f>IF($A356="","",IF(AND($K356&lt;&gt;"",$L356&lt;&gt;""),$K356,IF($F356="You",$D356,IF($F356="Wife",0,IF($F356="Shared",$D356/2,0)))))</f>
        <v/>
      </c>
      <c r="N356" s="54">
        <f>IF($A356="","",IF(AND($K356&lt;&gt;"",$L356&lt;&gt;""),$L356,IF($F356="You",0,IF($F356="Wife",$D356,IF($F356="Shared",$D356/2,0)))))</f>
        <v/>
      </c>
    </row>
    <row r="357" ht="15" customHeight="1" s="43">
      <c r="A357" s="45" t="n"/>
      <c r="B357" s="46" t="n"/>
      <c r="C357" s="46" t="n"/>
      <c r="D357" s="47" t="n"/>
      <c r="E357" s="46" t="n"/>
      <c r="F357" s="46" t="n"/>
      <c r="G357" s="46" t="n"/>
      <c r="H357" s="46" t="n"/>
      <c r="I357" s="46">
        <f>IF($A357="","",TEXT($A357,"YYYY-MM"))</f>
        <v/>
      </c>
      <c r="J357" s="46" t="n"/>
      <c r="K357" s="48" t="n"/>
      <c r="L357" s="48" t="n"/>
      <c r="M357" s="49">
        <f>IF($A357="","",IF(AND($K357&lt;&gt;"",$L357&lt;&gt;""),$K357,IF($F357="You",$D357,IF($F357="Wife",0,IF($F357="Shared",$D357/2,0)))))</f>
        <v/>
      </c>
      <c r="N357" s="49">
        <f>IF($A357="","",IF(AND($K357&lt;&gt;"",$L357&lt;&gt;""),$L357,IF($F357="You",0,IF($F357="Wife",$D357,IF($F357="Shared",$D357/2,0)))))</f>
        <v/>
      </c>
    </row>
    <row r="358" ht="15" customHeight="1" s="43">
      <c r="A358" s="50" t="n"/>
      <c r="B358" s="51" t="n"/>
      <c r="C358" s="51" t="n"/>
      <c r="D358" s="52" t="n"/>
      <c r="E358" s="51" t="n"/>
      <c r="F358" s="51" t="n"/>
      <c r="G358" s="51" t="n"/>
      <c r="H358" s="51" t="n"/>
      <c r="I358" s="51">
        <f>IF($A358="","",TEXT($A358,"YYYY-MM"))</f>
        <v/>
      </c>
      <c r="J358" s="51" t="n"/>
      <c r="K358" s="53" t="n"/>
      <c r="L358" s="53" t="n"/>
      <c r="M358" s="54">
        <f>IF($A358="","",IF(AND($K358&lt;&gt;"",$L358&lt;&gt;""),$K358,IF($F358="You",$D358,IF($F358="Wife",0,IF($F358="Shared",$D358/2,0)))))</f>
        <v/>
      </c>
      <c r="N358" s="54">
        <f>IF($A358="","",IF(AND($K358&lt;&gt;"",$L358&lt;&gt;""),$L358,IF($F358="You",0,IF($F358="Wife",$D358,IF($F358="Shared",$D358/2,0)))))</f>
        <v/>
      </c>
    </row>
    <row r="359" ht="15" customHeight="1" s="43">
      <c r="A359" s="45" t="n"/>
      <c r="B359" s="46" t="n"/>
      <c r="C359" s="46" t="n"/>
      <c r="D359" s="47" t="n"/>
      <c r="E359" s="46" t="n"/>
      <c r="F359" s="46" t="n"/>
      <c r="G359" s="46" t="n"/>
      <c r="H359" s="46" t="n"/>
      <c r="I359" s="46">
        <f>IF($A359="","",TEXT($A359,"YYYY-MM"))</f>
        <v/>
      </c>
      <c r="J359" s="46" t="n"/>
      <c r="K359" s="48" t="n"/>
      <c r="L359" s="48" t="n"/>
      <c r="M359" s="49">
        <f>IF($A359="","",IF(AND($K359&lt;&gt;"",$L359&lt;&gt;""),$K359,IF($F359="You",$D359,IF($F359="Wife",0,IF($F359="Shared",$D359/2,0)))))</f>
        <v/>
      </c>
      <c r="N359" s="49">
        <f>IF($A359="","",IF(AND($K359&lt;&gt;"",$L359&lt;&gt;""),$L359,IF($F359="You",0,IF($F359="Wife",$D359,IF($F359="Shared",$D359/2,0)))))</f>
        <v/>
      </c>
    </row>
    <row r="360" ht="15" customHeight="1" s="43">
      <c r="A360" s="50" t="n"/>
      <c r="B360" s="51" t="n"/>
      <c r="C360" s="51" t="n"/>
      <c r="D360" s="52" t="n"/>
      <c r="E360" s="51" t="n"/>
      <c r="F360" s="51" t="n"/>
      <c r="G360" s="51" t="n"/>
      <c r="H360" s="51" t="n"/>
      <c r="I360" s="51">
        <f>IF($A360="","",TEXT($A360,"YYYY-MM"))</f>
        <v/>
      </c>
      <c r="J360" s="51" t="n"/>
      <c r="K360" s="53" t="n"/>
      <c r="L360" s="53" t="n"/>
      <c r="M360" s="54">
        <f>IF($A360="","",IF(AND($K360&lt;&gt;"",$L360&lt;&gt;""),$K360,IF($F360="You",$D360,IF($F360="Wife",0,IF($F360="Shared",$D360/2,0)))))</f>
        <v/>
      </c>
      <c r="N360" s="54">
        <f>IF($A360="","",IF(AND($K360&lt;&gt;"",$L360&lt;&gt;""),$L360,IF($F360="You",0,IF($F360="Wife",$D360,IF($F360="Shared",$D360/2,0)))))</f>
        <v/>
      </c>
    </row>
    <row r="361" ht="15" customHeight="1" s="43">
      <c r="A361" s="45" t="n"/>
      <c r="B361" s="46" t="n"/>
      <c r="C361" s="46" t="n"/>
      <c r="D361" s="47" t="n"/>
      <c r="E361" s="46" t="n"/>
      <c r="F361" s="46" t="n"/>
      <c r="G361" s="46" t="n"/>
      <c r="H361" s="46" t="n"/>
      <c r="I361" s="46">
        <f>IF($A361="","",TEXT($A361,"YYYY-MM"))</f>
        <v/>
      </c>
      <c r="J361" s="46" t="n"/>
      <c r="K361" s="48" t="n"/>
      <c r="L361" s="48" t="n"/>
      <c r="M361" s="49">
        <f>IF($A361="","",IF(AND($K361&lt;&gt;"",$L361&lt;&gt;""),$K361,IF($F361="You",$D361,IF($F361="Wife",0,IF($F361="Shared",$D361/2,0)))))</f>
        <v/>
      </c>
      <c r="N361" s="49">
        <f>IF($A361="","",IF(AND($K361&lt;&gt;"",$L361&lt;&gt;""),$L361,IF($F361="You",0,IF($F361="Wife",$D361,IF($F361="Shared",$D361/2,0)))))</f>
        <v/>
      </c>
    </row>
    <row r="362" ht="15" customHeight="1" s="43">
      <c r="A362" s="50" t="n"/>
      <c r="B362" s="51" t="n"/>
      <c r="C362" s="51" t="n"/>
      <c r="D362" s="52" t="n"/>
      <c r="E362" s="51" t="n"/>
      <c r="F362" s="51" t="n"/>
      <c r="G362" s="51" t="n"/>
      <c r="H362" s="51" t="n"/>
      <c r="I362" s="51">
        <f>IF($A362="","",TEXT($A362,"YYYY-MM"))</f>
        <v/>
      </c>
      <c r="J362" s="51" t="n"/>
      <c r="K362" s="53" t="n"/>
      <c r="L362" s="53" t="n"/>
      <c r="M362" s="54">
        <f>IF($A362="","",IF(AND($K362&lt;&gt;"",$L362&lt;&gt;""),$K362,IF($F362="You",$D362,IF($F362="Wife",0,IF($F362="Shared",$D362/2,0)))))</f>
        <v/>
      </c>
      <c r="N362" s="54">
        <f>IF($A362="","",IF(AND($K362&lt;&gt;"",$L362&lt;&gt;""),$L362,IF($F362="You",0,IF($F362="Wife",$D362,IF($F362="Shared",$D362/2,0)))))</f>
        <v/>
      </c>
    </row>
    <row r="363" ht="15" customHeight="1" s="43">
      <c r="A363" s="45" t="n"/>
      <c r="B363" s="46" t="n"/>
      <c r="C363" s="46" t="n"/>
      <c r="D363" s="47" t="n"/>
      <c r="E363" s="46" t="n"/>
      <c r="F363" s="46" t="n"/>
      <c r="G363" s="46" t="n"/>
      <c r="H363" s="46" t="n"/>
      <c r="I363" s="46">
        <f>IF($A363="","",TEXT($A363,"YYYY-MM"))</f>
        <v/>
      </c>
      <c r="J363" s="46" t="n"/>
      <c r="K363" s="48" t="n"/>
      <c r="L363" s="48" t="n"/>
      <c r="M363" s="49">
        <f>IF($A363="","",IF(AND($K363&lt;&gt;"",$L363&lt;&gt;""),$K363,IF($F363="You",$D363,IF($F363="Wife",0,IF($F363="Shared",$D363/2,0)))))</f>
        <v/>
      </c>
      <c r="N363" s="49">
        <f>IF($A363="","",IF(AND($K363&lt;&gt;"",$L363&lt;&gt;""),$L363,IF($F363="You",0,IF($F363="Wife",$D363,IF($F363="Shared",$D363/2,0)))))</f>
        <v/>
      </c>
    </row>
    <row r="364" ht="15" customHeight="1" s="43">
      <c r="A364" s="50" t="n"/>
      <c r="B364" s="51" t="n"/>
      <c r="C364" s="51" t="n"/>
      <c r="D364" s="52" t="n"/>
      <c r="E364" s="51" t="n"/>
      <c r="F364" s="51" t="n"/>
      <c r="G364" s="51" t="n"/>
      <c r="H364" s="51" t="n"/>
      <c r="I364" s="51">
        <f>IF($A364="","",TEXT($A364,"YYYY-MM"))</f>
        <v/>
      </c>
      <c r="J364" s="51" t="n"/>
      <c r="K364" s="53" t="n"/>
      <c r="L364" s="53" t="n"/>
      <c r="M364" s="54">
        <f>IF($A364="","",IF(AND($K364&lt;&gt;"",$L364&lt;&gt;""),$K364,IF($F364="You",$D364,IF($F364="Wife",0,IF($F364="Shared",$D364/2,0)))))</f>
        <v/>
      </c>
      <c r="N364" s="54">
        <f>IF($A364="","",IF(AND($K364&lt;&gt;"",$L364&lt;&gt;""),$L364,IF($F364="You",0,IF($F364="Wife",$D364,IF($F364="Shared",$D364/2,0)))))</f>
        <v/>
      </c>
    </row>
    <row r="365" ht="15" customHeight="1" s="43">
      <c r="A365" s="45" t="n"/>
      <c r="B365" s="46" t="n"/>
      <c r="C365" s="46" t="n"/>
      <c r="D365" s="47" t="n"/>
      <c r="E365" s="46" t="n"/>
      <c r="F365" s="46" t="n"/>
      <c r="G365" s="46" t="n"/>
      <c r="H365" s="46" t="n"/>
      <c r="I365" s="46">
        <f>IF($A365="","",TEXT($A365,"YYYY-MM"))</f>
        <v/>
      </c>
      <c r="J365" s="46" t="n"/>
      <c r="K365" s="48" t="n"/>
      <c r="L365" s="48" t="n"/>
      <c r="M365" s="49">
        <f>IF($A365="","",IF(AND($K365&lt;&gt;"",$L365&lt;&gt;""),$K365,IF($F365="You",$D365,IF($F365="Wife",0,IF($F365="Shared",$D365/2,0)))))</f>
        <v/>
      </c>
      <c r="N365" s="49">
        <f>IF($A365="","",IF(AND($K365&lt;&gt;"",$L365&lt;&gt;""),$L365,IF($F365="You",0,IF($F365="Wife",$D365,IF($F365="Shared",$D365/2,0)))))</f>
        <v/>
      </c>
    </row>
    <row r="366" ht="15" customHeight="1" s="43">
      <c r="A366" s="50" t="n"/>
      <c r="B366" s="51" t="n"/>
      <c r="C366" s="51" t="n"/>
      <c r="D366" s="52" t="n"/>
      <c r="E366" s="51" t="n"/>
      <c r="F366" s="51" t="n"/>
      <c r="G366" s="51" t="n"/>
      <c r="H366" s="51" t="n"/>
      <c r="I366" s="51">
        <f>IF($A366="","",TEXT($A366,"YYYY-MM"))</f>
        <v/>
      </c>
      <c r="J366" s="51" t="n"/>
      <c r="K366" s="53" t="n"/>
      <c r="L366" s="53" t="n"/>
      <c r="M366" s="54">
        <f>IF($A366="","",IF(AND($K366&lt;&gt;"",$L366&lt;&gt;""),$K366,IF($F366="You",$D366,IF($F366="Wife",0,IF($F366="Shared",$D366/2,0)))))</f>
        <v/>
      </c>
      <c r="N366" s="54">
        <f>IF($A366="","",IF(AND($K366&lt;&gt;"",$L366&lt;&gt;""),$L366,IF($F366="You",0,IF($F366="Wife",$D366,IF($F366="Shared",$D366/2,0)))))</f>
        <v/>
      </c>
    </row>
    <row r="367" ht="15" customHeight="1" s="43">
      <c r="A367" s="45" t="n"/>
      <c r="B367" s="46" t="n"/>
      <c r="C367" s="46" t="n"/>
      <c r="D367" s="47" t="n"/>
      <c r="E367" s="46" t="n"/>
      <c r="F367" s="46" t="n"/>
      <c r="G367" s="46" t="n"/>
      <c r="H367" s="46" t="n"/>
      <c r="I367" s="46">
        <f>IF($A367="","",TEXT($A367,"YYYY-MM"))</f>
        <v/>
      </c>
      <c r="J367" s="46" t="n"/>
      <c r="K367" s="48" t="n"/>
      <c r="L367" s="48" t="n"/>
      <c r="M367" s="49">
        <f>IF($A367="","",IF(AND($K367&lt;&gt;"",$L367&lt;&gt;""),$K367,IF($F367="You",$D367,IF($F367="Wife",0,IF($F367="Shared",$D367/2,0)))))</f>
        <v/>
      </c>
      <c r="N367" s="49">
        <f>IF($A367="","",IF(AND($K367&lt;&gt;"",$L367&lt;&gt;""),$L367,IF($F367="You",0,IF($F367="Wife",$D367,IF($F367="Shared",$D367/2,0)))))</f>
        <v/>
      </c>
    </row>
    <row r="368" ht="15" customHeight="1" s="43">
      <c r="A368" s="50" t="n"/>
      <c r="B368" s="51" t="n"/>
      <c r="C368" s="51" t="n"/>
      <c r="D368" s="52" t="n"/>
      <c r="E368" s="51" t="n"/>
      <c r="F368" s="51" t="n"/>
      <c r="G368" s="51" t="n"/>
      <c r="H368" s="51" t="n"/>
      <c r="I368" s="51">
        <f>IF($A368="","",TEXT($A368,"YYYY-MM"))</f>
        <v/>
      </c>
      <c r="J368" s="51" t="n"/>
      <c r="K368" s="53" t="n"/>
      <c r="L368" s="53" t="n"/>
      <c r="M368" s="54">
        <f>IF($A368="","",IF(AND($K368&lt;&gt;"",$L368&lt;&gt;""),$K368,IF($F368="You",$D368,IF($F368="Wife",0,IF($F368="Shared",$D368/2,0)))))</f>
        <v/>
      </c>
      <c r="N368" s="54">
        <f>IF($A368="","",IF(AND($K368&lt;&gt;"",$L368&lt;&gt;""),$L368,IF($F368="You",0,IF($F368="Wife",$D368,IF($F368="Shared",$D368/2,0)))))</f>
        <v/>
      </c>
    </row>
    <row r="369" ht="15" customHeight="1" s="43">
      <c r="A369" s="45" t="n"/>
      <c r="B369" s="46" t="n"/>
      <c r="C369" s="46" t="n"/>
      <c r="D369" s="47" t="n"/>
      <c r="E369" s="46" t="n"/>
      <c r="F369" s="46" t="n"/>
      <c r="G369" s="46" t="n"/>
      <c r="H369" s="46" t="n"/>
      <c r="I369" s="46">
        <f>IF($A369="","",TEXT($A369,"YYYY-MM"))</f>
        <v/>
      </c>
      <c r="J369" s="46" t="n"/>
      <c r="K369" s="48" t="n"/>
      <c r="L369" s="48" t="n"/>
      <c r="M369" s="49">
        <f>IF($A369="","",IF(AND($K369&lt;&gt;"",$L369&lt;&gt;""),$K369,IF($F369="You",$D369,IF($F369="Wife",0,IF($F369="Shared",$D369/2,0)))))</f>
        <v/>
      </c>
      <c r="N369" s="49">
        <f>IF($A369="","",IF(AND($K369&lt;&gt;"",$L369&lt;&gt;""),$L369,IF($F369="You",0,IF($F369="Wife",$D369,IF($F369="Shared",$D369/2,0)))))</f>
        <v/>
      </c>
    </row>
    <row r="370" ht="15" customHeight="1" s="43">
      <c r="A370" s="50" t="n"/>
      <c r="B370" s="51" t="n"/>
      <c r="C370" s="51" t="n"/>
      <c r="D370" s="52" t="n"/>
      <c r="E370" s="51" t="n"/>
      <c r="F370" s="51" t="n"/>
      <c r="G370" s="51" t="n"/>
      <c r="H370" s="51" t="n"/>
      <c r="I370" s="51">
        <f>IF($A370="","",TEXT($A370,"YYYY-MM"))</f>
        <v/>
      </c>
      <c r="J370" s="51" t="n"/>
      <c r="K370" s="53" t="n"/>
      <c r="L370" s="53" t="n"/>
      <c r="M370" s="54">
        <f>IF($A370="","",IF(AND($K370&lt;&gt;"",$L370&lt;&gt;""),$K370,IF($F370="You",$D370,IF($F370="Wife",0,IF($F370="Shared",$D370/2,0)))))</f>
        <v/>
      </c>
      <c r="N370" s="54">
        <f>IF($A370="","",IF(AND($K370&lt;&gt;"",$L370&lt;&gt;""),$L370,IF($F370="You",0,IF($F370="Wife",$D370,IF($F370="Shared",$D370/2,0)))))</f>
        <v/>
      </c>
    </row>
    <row r="371" ht="15" customHeight="1" s="43">
      <c r="A371" s="45" t="n"/>
      <c r="B371" s="46" t="n"/>
      <c r="C371" s="46" t="n"/>
      <c r="D371" s="47" t="n"/>
      <c r="E371" s="46" t="n"/>
      <c r="F371" s="46" t="n"/>
      <c r="G371" s="46" t="n"/>
      <c r="H371" s="46" t="n"/>
      <c r="I371" s="46">
        <f>IF($A371="","",TEXT($A371,"YYYY-MM"))</f>
        <v/>
      </c>
      <c r="J371" s="46" t="n"/>
      <c r="K371" s="48" t="n"/>
      <c r="L371" s="48" t="n"/>
      <c r="M371" s="49">
        <f>IF($A371="","",IF(AND($K371&lt;&gt;"",$L371&lt;&gt;""),$K371,IF($F371="You",$D371,IF($F371="Wife",0,IF($F371="Shared",$D371/2,0)))))</f>
        <v/>
      </c>
      <c r="N371" s="49">
        <f>IF($A371="","",IF(AND($K371&lt;&gt;"",$L371&lt;&gt;""),$L371,IF($F371="You",0,IF($F371="Wife",$D371,IF($F371="Shared",$D371/2,0)))))</f>
        <v/>
      </c>
    </row>
    <row r="372" ht="15" customHeight="1" s="43">
      <c r="A372" s="50" t="n"/>
      <c r="B372" s="51" t="n"/>
      <c r="C372" s="51" t="n"/>
      <c r="D372" s="52" t="n"/>
      <c r="E372" s="51" t="n"/>
      <c r="F372" s="51" t="n"/>
      <c r="G372" s="51" t="n"/>
      <c r="H372" s="51" t="n"/>
      <c r="I372" s="51">
        <f>IF($A372="","",TEXT($A372,"YYYY-MM"))</f>
        <v/>
      </c>
      <c r="J372" s="51" t="n"/>
      <c r="K372" s="53" t="n"/>
      <c r="L372" s="53" t="n"/>
      <c r="M372" s="54">
        <f>IF($A372="","",IF(AND($K372&lt;&gt;"",$L372&lt;&gt;""),$K372,IF($F372="You",$D372,IF($F372="Wife",0,IF($F372="Shared",$D372/2,0)))))</f>
        <v/>
      </c>
      <c r="N372" s="54">
        <f>IF($A372="","",IF(AND($K372&lt;&gt;"",$L372&lt;&gt;""),$L372,IF($F372="You",0,IF($F372="Wife",$D372,IF($F372="Shared",$D372/2,0)))))</f>
        <v/>
      </c>
    </row>
    <row r="373" ht="15" customHeight="1" s="43">
      <c r="A373" s="45" t="n"/>
      <c r="B373" s="46" t="n"/>
      <c r="C373" s="46" t="n"/>
      <c r="D373" s="47" t="n"/>
      <c r="E373" s="46" t="n"/>
      <c r="F373" s="46" t="n"/>
      <c r="G373" s="46" t="n"/>
      <c r="H373" s="46" t="n"/>
      <c r="I373" s="46">
        <f>IF($A373="","",TEXT($A373,"YYYY-MM"))</f>
        <v/>
      </c>
      <c r="J373" s="46" t="n"/>
      <c r="K373" s="48" t="n"/>
      <c r="L373" s="48" t="n"/>
      <c r="M373" s="49">
        <f>IF($A373="","",IF(AND($K373&lt;&gt;"",$L373&lt;&gt;""),$K373,IF($F373="You",$D373,IF($F373="Wife",0,IF($F373="Shared",$D373/2,0)))))</f>
        <v/>
      </c>
      <c r="N373" s="49">
        <f>IF($A373="","",IF(AND($K373&lt;&gt;"",$L373&lt;&gt;""),$L373,IF($F373="You",0,IF($F373="Wife",$D373,IF($F373="Shared",$D373/2,0)))))</f>
        <v/>
      </c>
    </row>
    <row r="374" ht="15" customHeight="1" s="43">
      <c r="A374" s="50" t="n"/>
      <c r="B374" s="51" t="n"/>
      <c r="C374" s="51" t="n"/>
      <c r="D374" s="52" t="n"/>
      <c r="E374" s="51" t="n"/>
      <c r="F374" s="51" t="n"/>
      <c r="G374" s="51" t="n"/>
      <c r="H374" s="51" t="n"/>
      <c r="I374" s="51">
        <f>IF($A374="","",TEXT($A374,"YYYY-MM"))</f>
        <v/>
      </c>
      <c r="J374" s="51" t="n"/>
      <c r="K374" s="53" t="n"/>
      <c r="L374" s="53" t="n"/>
      <c r="M374" s="54">
        <f>IF($A374="","",IF(AND($K374&lt;&gt;"",$L374&lt;&gt;""),$K374,IF($F374="You",$D374,IF($F374="Wife",0,IF($F374="Shared",$D374/2,0)))))</f>
        <v/>
      </c>
      <c r="N374" s="54">
        <f>IF($A374="","",IF(AND($K374&lt;&gt;"",$L374&lt;&gt;""),$L374,IF($F374="You",0,IF($F374="Wife",$D374,IF($F374="Shared",$D374/2,0)))))</f>
        <v/>
      </c>
    </row>
    <row r="375" ht="15" customHeight="1" s="43">
      <c r="A375" s="45" t="n"/>
      <c r="B375" s="46" t="n"/>
      <c r="C375" s="46" t="n"/>
      <c r="D375" s="47" t="n"/>
      <c r="E375" s="46" t="n"/>
      <c r="F375" s="46" t="n"/>
      <c r="G375" s="46" t="n"/>
      <c r="H375" s="46" t="n"/>
      <c r="I375" s="46">
        <f>IF($A375="","",TEXT($A375,"YYYY-MM"))</f>
        <v/>
      </c>
      <c r="J375" s="46" t="n"/>
      <c r="K375" s="48" t="n"/>
      <c r="L375" s="48" t="n"/>
      <c r="M375" s="49">
        <f>IF($A375="","",IF(AND($K375&lt;&gt;"",$L375&lt;&gt;""),$K375,IF($F375="You",$D375,IF($F375="Wife",0,IF($F375="Shared",$D375/2,0)))))</f>
        <v/>
      </c>
      <c r="N375" s="49">
        <f>IF($A375="","",IF(AND($K375&lt;&gt;"",$L375&lt;&gt;""),$L375,IF($F375="You",0,IF($F375="Wife",$D375,IF($F375="Shared",$D375/2,0)))))</f>
        <v/>
      </c>
    </row>
    <row r="376" ht="15" customHeight="1" s="43">
      <c r="A376" s="50" t="n"/>
      <c r="B376" s="51" t="n"/>
      <c r="C376" s="51" t="n"/>
      <c r="D376" s="52" t="n"/>
      <c r="E376" s="51" t="n"/>
      <c r="F376" s="51" t="n"/>
      <c r="G376" s="51" t="n"/>
      <c r="H376" s="51" t="n"/>
      <c r="I376" s="51">
        <f>IF($A376="","",TEXT($A376,"YYYY-MM"))</f>
        <v/>
      </c>
      <c r="J376" s="51" t="n"/>
      <c r="K376" s="53" t="n"/>
      <c r="L376" s="53" t="n"/>
      <c r="M376" s="54">
        <f>IF($A376="","",IF(AND($K376&lt;&gt;"",$L376&lt;&gt;""),$K376,IF($F376="You",$D376,IF($F376="Wife",0,IF($F376="Shared",$D376/2,0)))))</f>
        <v/>
      </c>
      <c r="N376" s="54">
        <f>IF($A376="","",IF(AND($K376&lt;&gt;"",$L376&lt;&gt;""),$L376,IF($F376="You",0,IF($F376="Wife",$D376,IF($F376="Shared",$D376/2,0)))))</f>
        <v/>
      </c>
    </row>
    <row r="377" ht="15" customHeight="1" s="43">
      <c r="A377" s="45" t="n"/>
      <c r="B377" s="46" t="n"/>
      <c r="C377" s="46" t="n"/>
      <c r="D377" s="47" t="n"/>
      <c r="E377" s="46" t="n"/>
      <c r="F377" s="46" t="n"/>
      <c r="G377" s="46" t="n"/>
      <c r="H377" s="46" t="n"/>
      <c r="I377" s="46">
        <f>IF($A377="","",TEXT($A377,"YYYY-MM"))</f>
        <v/>
      </c>
      <c r="J377" s="46" t="n"/>
      <c r="K377" s="48" t="n"/>
      <c r="L377" s="48" t="n"/>
      <c r="M377" s="49">
        <f>IF($A377="","",IF(AND($K377&lt;&gt;"",$L377&lt;&gt;""),$K377,IF($F377="You",$D377,IF($F377="Wife",0,IF($F377="Shared",$D377/2,0)))))</f>
        <v/>
      </c>
      <c r="N377" s="49">
        <f>IF($A377="","",IF(AND($K377&lt;&gt;"",$L377&lt;&gt;""),$L377,IF($F377="You",0,IF($F377="Wife",$D377,IF($F377="Shared",$D377/2,0)))))</f>
        <v/>
      </c>
    </row>
    <row r="378" ht="15" customHeight="1" s="43">
      <c r="A378" s="50" t="n"/>
      <c r="B378" s="51" t="n"/>
      <c r="C378" s="51" t="n"/>
      <c r="D378" s="52" t="n"/>
      <c r="E378" s="51" t="n"/>
      <c r="F378" s="51" t="n"/>
      <c r="G378" s="51" t="n"/>
      <c r="H378" s="51" t="n"/>
      <c r="I378" s="51">
        <f>IF($A378="","",TEXT($A378,"YYYY-MM"))</f>
        <v/>
      </c>
      <c r="J378" s="51" t="n"/>
      <c r="K378" s="53" t="n"/>
      <c r="L378" s="53" t="n"/>
      <c r="M378" s="54">
        <f>IF($A378="","",IF(AND($K378&lt;&gt;"",$L378&lt;&gt;""),$K378,IF($F378="You",$D378,IF($F378="Wife",0,IF($F378="Shared",$D378/2,0)))))</f>
        <v/>
      </c>
      <c r="N378" s="54">
        <f>IF($A378="","",IF(AND($K378&lt;&gt;"",$L378&lt;&gt;""),$L378,IF($F378="You",0,IF($F378="Wife",$D378,IF($F378="Shared",$D378/2,0)))))</f>
        <v/>
      </c>
    </row>
    <row r="379" ht="15" customHeight="1" s="43">
      <c r="A379" s="45" t="n"/>
      <c r="B379" s="46" t="n"/>
      <c r="C379" s="46" t="n"/>
      <c r="D379" s="47" t="n"/>
      <c r="E379" s="46" t="n"/>
      <c r="F379" s="46" t="n"/>
      <c r="G379" s="46" t="n"/>
      <c r="H379" s="46" t="n"/>
      <c r="I379" s="46">
        <f>IF($A379="","",TEXT($A379,"YYYY-MM"))</f>
        <v/>
      </c>
      <c r="J379" s="46" t="n"/>
      <c r="K379" s="48" t="n"/>
      <c r="L379" s="48" t="n"/>
      <c r="M379" s="49">
        <f>IF($A379="","",IF(AND($K379&lt;&gt;"",$L379&lt;&gt;""),$K379,IF($F379="You",$D379,IF($F379="Wife",0,IF($F379="Shared",$D379/2,0)))))</f>
        <v/>
      </c>
      <c r="N379" s="49">
        <f>IF($A379="","",IF(AND($K379&lt;&gt;"",$L379&lt;&gt;""),$L379,IF($F379="You",0,IF($F379="Wife",$D379,IF($F379="Shared",$D379/2,0)))))</f>
        <v/>
      </c>
    </row>
    <row r="380" ht="15" customHeight="1" s="43">
      <c r="A380" s="50" t="n"/>
      <c r="B380" s="51" t="n"/>
      <c r="C380" s="51" t="n"/>
      <c r="D380" s="52" t="n"/>
      <c r="E380" s="51" t="n"/>
      <c r="F380" s="51" t="n"/>
      <c r="G380" s="51" t="n"/>
      <c r="H380" s="51" t="n"/>
      <c r="I380" s="51">
        <f>IF($A380="","",TEXT($A380,"YYYY-MM"))</f>
        <v/>
      </c>
      <c r="J380" s="51" t="n"/>
      <c r="K380" s="53" t="n"/>
      <c r="L380" s="53" t="n"/>
      <c r="M380" s="54">
        <f>IF($A380="","",IF(AND($K380&lt;&gt;"",$L380&lt;&gt;""),$K380,IF($F380="You",$D380,IF($F380="Wife",0,IF($F380="Shared",$D380/2,0)))))</f>
        <v/>
      </c>
      <c r="N380" s="54">
        <f>IF($A380="","",IF(AND($K380&lt;&gt;"",$L380&lt;&gt;""),$L380,IF($F380="You",0,IF($F380="Wife",$D380,IF($F380="Shared",$D380/2,0)))))</f>
        <v/>
      </c>
    </row>
    <row r="381" ht="15" customHeight="1" s="43">
      <c r="A381" s="45" t="n"/>
      <c r="B381" s="46" t="n"/>
      <c r="C381" s="46" t="n"/>
      <c r="D381" s="47" t="n"/>
      <c r="E381" s="46" t="n"/>
      <c r="F381" s="46" t="n"/>
      <c r="G381" s="46" t="n"/>
      <c r="H381" s="46" t="n"/>
      <c r="I381" s="46">
        <f>IF($A381="","",TEXT($A381,"YYYY-MM"))</f>
        <v/>
      </c>
      <c r="J381" s="46" t="n"/>
      <c r="K381" s="48" t="n"/>
      <c r="L381" s="48" t="n"/>
      <c r="M381" s="49">
        <f>IF($A381="","",IF(AND($K381&lt;&gt;"",$L381&lt;&gt;""),$K381,IF($F381="You",$D381,IF($F381="Wife",0,IF($F381="Shared",$D381/2,0)))))</f>
        <v/>
      </c>
      <c r="N381" s="49">
        <f>IF($A381="","",IF(AND($K381&lt;&gt;"",$L381&lt;&gt;""),$L381,IF($F381="You",0,IF($F381="Wife",$D381,IF($F381="Shared",$D381/2,0)))))</f>
        <v/>
      </c>
    </row>
    <row r="382" ht="15" customHeight="1" s="43">
      <c r="A382" s="50" t="n"/>
      <c r="B382" s="51" t="n"/>
      <c r="C382" s="51" t="n"/>
      <c r="D382" s="52" t="n"/>
      <c r="E382" s="51" t="n"/>
      <c r="F382" s="51" t="n"/>
      <c r="G382" s="51" t="n"/>
      <c r="H382" s="51" t="n"/>
      <c r="I382" s="51">
        <f>IF($A382="","",TEXT($A382,"YYYY-MM"))</f>
        <v/>
      </c>
      <c r="J382" s="51" t="n"/>
      <c r="K382" s="53" t="n"/>
      <c r="L382" s="53" t="n"/>
      <c r="M382" s="54">
        <f>IF($A382="","",IF(AND($K382&lt;&gt;"",$L382&lt;&gt;""),$K382,IF($F382="You",$D382,IF($F382="Wife",0,IF($F382="Shared",$D382/2,0)))))</f>
        <v/>
      </c>
      <c r="N382" s="54">
        <f>IF($A382="","",IF(AND($K382&lt;&gt;"",$L382&lt;&gt;""),$L382,IF($F382="You",0,IF($F382="Wife",$D382,IF($F382="Shared",$D382/2,0)))))</f>
        <v/>
      </c>
    </row>
    <row r="383" ht="15" customHeight="1" s="43">
      <c r="A383" s="45" t="n"/>
      <c r="B383" s="46" t="n"/>
      <c r="C383" s="46" t="n"/>
      <c r="D383" s="47" t="n"/>
      <c r="E383" s="46" t="n"/>
      <c r="F383" s="46" t="n"/>
      <c r="G383" s="46" t="n"/>
      <c r="H383" s="46" t="n"/>
      <c r="I383" s="46">
        <f>IF($A383="","",TEXT($A383,"YYYY-MM"))</f>
        <v/>
      </c>
      <c r="J383" s="46" t="n"/>
      <c r="K383" s="48" t="n"/>
      <c r="L383" s="48" t="n"/>
      <c r="M383" s="49">
        <f>IF($A383="","",IF(AND($K383&lt;&gt;"",$L383&lt;&gt;""),$K383,IF($F383="You",$D383,IF($F383="Wife",0,IF($F383="Shared",$D383/2,0)))))</f>
        <v/>
      </c>
      <c r="N383" s="49">
        <f>IF($A383="","",IF(AND($K383&lt;&gt;"",$L383&lt;&gt;""),$L383,IF($F383="You",0,IF($F383="Wife",$D383,IF($F383="Shared",$D383/2,0)))))</f>
        <v/>
      </c>
    </row>
    <row r="384" ht="15" customHeight="1" s="43">
      <c r="A384" s="50" t="n"/>
      <c r="B384" s="51" t="n"/>
      <c r="C384" s="51" t="n"/>
      <c r="D384" s="52" t="n"/>
      <c r="E384" s="51" t="n"/>
      <c r="F384" s="51" t="n"/>
      <c r="G384" s="51" t="n"/>
      <c r="H384" s="51" t="n"/>
      <c r="I384" s="51">
        <f>IF($A384="","",TEXT($A384,"YYYY-MM"))</f>
        <v/>
      </c>
      <c r="J384" s="51" t="n"/>
      <c r="K384" s="53" t="n"/>
      <c r="L384" s="53" t="n"/>
      <c r="M384" s="54">
        <f>IF($A384="","",IF(AND($K384&lt;&gt;"",$L384&lt;&gt;""),$K384,IF($F384="You",$D384,IF($F384="Wife",0,IF($F384="Shared",$D384/2,0)))))</f>
        <v/>
      </c>
      <c r="N384" s="54">
        <f>IF($A384="","",IF(AND($K384&lt;&gt;"",$L384&lt;&gt;""),$L384,IF($F384="You",0,IF($F384="Wife",$D384,IF($F384="Shared",$D384/2,0)))))</f>
        <v/>
      </c>
    </row>
    <row r="385" ht="15" customHeight="1" s="43">
      <c r="A385" s="45" t="n"/>
      <c r="B385" s="46" t="n"/>
      <c r="C385" s="46" t="n"/>
      <c r="D385" s="47" t="n"/>
      <c r="E385" s="46" t="n"/>
      <c r="F385" s="46" t="n"/>
      <c r="G385" s="46" t="n"/>
      <c r="H385" s="46" t="n"/>
      <c r="I385" s="46">
        <f>IF($A385="","",TEXT($A385,"YYYY-MM"))</f>
        <v/>
      </c>
      <c r="J385" s="46" t="n"/>
      <c r="K385" s="48" t="n"/>
      <c r="L385" s="48" t="n"/>
      <c r="M385" s="49">
        <f>IF($A385="","",IF(AND($K385&lt;&gt;"",$L385&lt;&gt;""),$K385,IF($F385="You",$D385,IF($F385="Wife",0,IF($F385="Shared",$D385/2,0)))))</f>
        <v/>
      </c>
      <c r="N385" s="49">
        <f>IF($A385="","",IF(AND($K385&lt;&gt;"",$L385&lt;&gt;""),$L385,IF($F385="You",0,IF($F385="Wife",$D385,IF($F385="Shared",$D385/2,0)))))</f>
        <v/>
      </c>
    </row>
    <row r="386" ht="15" customHeight="1" s="43">
      <c r="A386" s="50" t="n"/>
      <c r="B386" s="51" t="n"/>
      <c r="C386" s="51" t="n"/>
      <c r="D386" s="52" t="n"/>
      <c r="E386" s="51" t="n"/>
      <c r="F386" s="51" t="n"/>
      <c r="G386" s="51" t="n"/>
      <c r="H386" s="51" t="n"/>
      <c r="I386" s="51">
        <f>IF($A386="","",TEXT($A386,"YYYY-MM"))</f>
        <v/>
      </c>
      <c r="J386" s="51" t="n"/>
      <c r="K386" s="53" t="n"/>
      <c r="L386" s="53" t="n"/>
      <c r="M386" s="54">
        <f>IF($A386="","",IF(AND($K386&lt;&gt;"",$L386&lt;&gt;""),$K386,IF($F386="You",$D386,IF($F386="Wife",0,IF($F386="Shared",$D386/2,0)))))</f>
        <v/>
      </c>
      <c r="N386" s="54">
        <f>IF($A386="","",IF(AND($K386&lt;&gt;"",$L386&lt;&gt;""),$L386,IF($F386="You",0,IF($F386="Wife",$D386,IF($F386="Shared",$D386/2,0)))))</f>
        <v/>
      </c>
    </row>
    <row r="387" ht="15" customHeight="1" s="43">
      <c r="A387" s="45" t="n"/>
      <c r="B387" s="46" t="n"/>
      <c r="C387" s="46" t="n"/>
      <c r="D387" s="47" t="n"/>
      <c r="E387" s="46" t="n"/>
      <c r="F387" s="46" t="n"/>
      <c r="G387" s="46" t="n"/>
      <c r="H387" s="46" t="n"/>
      <c r="I387" s="46">
        <f>IF($A387="","",TEXT($A387,"YYYY-MM"))</f>
        <v/>
      </c>
      <c r="J387" s="46" t="n"/>
      <c r="K387" s="48" t="n"/>
      <c r="L387" s="48" t="n"/>
      <c r="M387" s="49">
        <f>IF($A387="","",IF(AND($K387&lt;&gt;"",$L387&lt;&gt;""),$K387,IF($F387="You",$D387,IF($F387="Wife",0,IF($F387="Shared",$D387/2,0)))))</f>
        <v/>
      </c>
      <c r="N387" s="49">
        <f>IF($A387="","",IF(AND($K387&lt;&gt;"",$L387&lt;&gt;""),$L387,IF($F387="You",0,IF($F387="Wife",$D387,IF($F387="Shared",$D387/2,0)))))</f>
        <v/>
      </c>
    </row>
    <row r="388" ht="15" customHeight="1" s="43">
      <c r="A388" s="50" t="n"/>
      <c r="B388" s="51" t="n"/>
      <c r="C388" s="51" t="n"/>
      <c r="D388" s="52" t="n"/>
      <c r="E388" s="51" t="n"/>
      <c r="F388" s="51" t="n"/>
      <c r="G388" s="51" t="n"/>
      <c r="H388" s="51" t="n"/>
      <c r="I388" s="51">
        <f>IF($A388="","",TEXT($A388,"YYYY-MM"))</f>
        <v/>
      </c>
      <c r="J388" s="51" t="n"/>
      <c r="K388" s="53" t="n"/>
      <c r="L388" s="53" t="n"/>
      <c r="M388" s="54">
        <f>IF($A388="","",IF(AND($K388&lt;&gt;"",$L388&lt;&gt;""),$K388,IF($F388="You",$D388,IF($F388="Wife",0,IF($F388="Shared",$D388/2,0)))))</f>
        <v/>
      </c>
      <c r="N388" s="54">
        <f>IF($A388="","",IF(AND($K388&lt;&gt;"",$L388&lt;&gt;""),$L388,IF($F388="You",0,IF($F388="Wife",$D388,IF($F388="Shared",$D388/2,0)))))</f>
        <v/>
      </c>
    </row>
    <row r="389" ht="15" customHeight="1" s="43">
      <c r="A389" s="45" t="n"/>
      <c r="B389" s="46" t="n"/>
      <c r="C389" s="46" t="n"/>
      <c r="D389" s="47" t="n"/>
      <c r="E389" s="46" t="n"/>
      <c r="F389" s="46" t="n"/>
      <c r="G389" s="46" t="n"/>
      <c r="H389" s="46" t="n"/>
      <c r="I389" s="46">
        <f>IF($A389="","",TEXT($A389,"YYYY-MM"))</f>
        <v/>
      </c>
      <c r="J389" s="46" t="n"/>
      <c r="K389" s="48" t="n"/>
      <c r="L389" s="48" t="n"/>
      <c r="M389" s="49">
        <f>IF($A389="","",IF(AND($K389&lt;&gt;"",$L389&lt;&gt;""),$K389,IF($F389="You",$D389,IF($F389="Wife",0,IF($F389="Shared",$D389/2,0)))))</f>
        <v/>
      </c>
      <c r="N389" s="49">
        <f>IF($A389="","",IF(AND($K389&lt;&gt;"",$L389&lt;&gt;""),$L389,IF($F389="You",0,IF($F389="Wife",$D389,IF($F389="Shared",$D389/2,0)))))</f>
        <v/>
      </c>
    </row>
    <row r="390" ht="15" customHeight="1" s="43">
      <c r="A390" s="50" t="n"/>
      <c r="B390" s="51" t="n"/>
      <c r="C390" s="51" t="n"/>
      <c r="D390" s="52" t="n"/>
      <c r="E390" s="51" t="n"/>
      <c r="F390" s="51" t="n"/>
      <c r="G390" s="51" t="n"/>
      <c r="H390" s="51" t="n"/>
      <c r="I390" s="51">
        <f>IF($A390="","",TEXT($A390,"YYYY-MM"))</f>
        <v/>
      </c>
      <c r="J390" s="51" t="n"/>
      <c r="K390" s="53" t="n"/>
      <c r="L390" s="53" t="n"/>
      <c r="M390" s="54">
        <f>IF($A390="","",IF(AND($K390&lt;&gt;"",$L390&lt;&gt;""),$K390,IF($F390="You",$D390,IF($F390="Wife",0,IF($F390="Shared",$D390/2,0)))))</f>
        <v/>
      </c>
      <c r="N390" s="54">
        <f>IF($A390="","",IF(AND($K390&lt;&gt;"",$L390&lt;&gt;""),$L390,IF($F390="You",0,IF($F390="Wife",$D390,IF($F390="Shared",$D390/2,0)))))</f>
        <v/>
      </c>
    </row>
    <row r="391" ht="15" customHeight="1" s="43">
      <c r="A391" s="45" t="n"/>
      <c r="B391" s="46" t="n"/>
      <c r="C391" s="46" t="n"/>
      <c r="D391" s="47" t="n"/>
      <c r="E391" s="46" t="n"/>
      <c r="F391" s="46" t="n"/>
      <c r="G391" s="46" t="n"/>
      <c r="H391" s="46" t="n"/>
      <c r="I391" s="46">
        <f>IF($A391="","",TEXT($A391,"YYYY-MM"))</f>
        <v/>
      </c>
      <c r="J391" s="46" t="n"/>
      <c r="K391" s="48" t="n"/>
      <c r="L391" s="48" t="n"/>
      <c r="M391" s="49">
        <f>IF($A391="","",IF(AND($K391&lt;&gt;"",$L391&lt;&gt;""),$K391,IF($F391="You",$D391,IF($F391="Wife",0,IF($F391="Shared",$D391/2,0)))))</f>
        <v/>
      </c>
      <c r="N391" s="49">
        <f>IF($A391="","",IF(AND($K391&lt;&gt;"",$L391&lt;&gt;""),$L391,IF($F391="You",0,IF($F391="Wife",$D391,IF($F391="Shared",$D391/2,0)))))</f>
        <v/>
      </c>
    </row>
    <row r="392" ht="15" customHeight="1" s="43">
      <c r="A392" s="50" t="n"/>
      <c r="B392" s="51" t="n"/>
      <c r="C392" s="51" t="n"/>
      <c r="D392" s="52" t="n"/>
      <c r="E392" s="51" t="n"/>
      <c r="F392" s="51" t="n"/>
      <c r="G392" s="51" t="n"/>
      <c r="H392" s="51" t="n"/>
      <c r="I392" s="51">
        <f>IF($A392="","",TEXT($A392,"YYYY-MM"))</f>
        <v/>
      </c>
      <c r="J392" s="51" t="n"/>
      <c r="K392" s="53" t="n"/>
      <c r="L392" s="53" t="n"/>
      <c r="M392" s="54">
        <f>IF($A392="","",IF(AND($K392&lt;&gt;"",$L392&lt;&gt;""),$K392,IF($F392="You",$D392,IF($F392="Wife",0,IF($F392="Shared",$D392/2,0)))))</f>
        <v/>
      </c>
      <c r="N392" s="54">
        <f>IF($A392="","",IF(AND($K392&lt;&gt;"",$L392&lt;&gt;""),$L392,IF($F392="You",0,IF($F392="Wife",$D392,IF($F392="Shared",$D392/2,0)))))</f>
        <v/>
      </c>
    </row>
    <row r="393" ht="15" customHeight="1" s="43">
      <c r="A393" s="45" t="n"/>
      <c r="B393" s="46" t="n"/>
      <c r="C393" s="46" t="n"/>
      <c r="D393" s="47" t="n"/>
      <c r="E393" s="46" t="n"/>
      <c r="F393" s="46" t="n"/>
      <c r="G393" s="46" t="n"/>
      <c r="H393" s="46" t="n"/>
      <c r="I393" s="46">
        <f>IF($A393="","",TEXT($A393,"YYYY-MM"))</f>
        <v/>
      </c>
      <c r="J393" s="46" t="n"/>
      <c r="K393" s="48" t="n"/>
      <c r="L393" s="48" t="n"/>
      <c r="M393" s="49">
        <f>IF($A393="","",IF(AND($K393&lt;&gt;"",$L393&lt;&gt;""),$K393,IF($F393="You",$D393,IF($F393="Wife",0,IF($F393="Shared",$D393/2,0)))))</f>
        <v/>
      </c>
      <c r="N393" s="49">
        <f>IF($A393="","",IF(AND($K393&lt;&gt;"",$L393&lt;&gt;""),$L393,IF($F393="You",0,IF($F393="Wife",$D393,IF($F393="Shared",$D393/2,0)))))</f>
        <v/>
      </c>
    </row>
    <row r="394" ht="15" customHeight="1" s="43">
      <c r="A394" s="50" t="n"/>
      <c r="B394" s="51" t="n"/>
      <c r="C394" s="51" t="n"/>
      <c r="D394" s="52" t="n"/>
      <c r="E394" s="51" t="n"/>
      <c r="F394" s="51" t="n"/>
      <c r="G394" s="51" t="n"/>
      <c r="H394" s="51" t="n"/>
      <c r="I394" s="51">
        <f>IF($A394="","",TEXT($A394,"YYYY-MM"))</f>
        <v/>
      </c>
      <c r="J394" s="51" t="n"/>
      <c r="K394" s="53" t="n"/>
      <c r="L394" s="53" t="n"/>
      <c r="M394" s="54">
        <f>IF($A394="","",IF(AND($K394&lt;&gt;"",$L394&lt;&gt;""),$K394,IF($F394="You",$D394,IF($F394="Wife",0,IF($F394="Shared",$D394/2,0)))))</f>
        <v/>
      </c>
      <c r="N394" s="54">
        <f>IF($A394="","",IF(AND($K394&lt;&gt;"",$L394&lt;&gt;""),$L394,IF($F394="You",0,IF($F394="Wife",$D394,IF($F394="Shared",$D394/2,0)))))</f>
        <v/>
      </c>
    </row>
    <row r="395" ht="15" customHeight="1" s="43">
      <c r="A395" s="45" t="n"/>
      <c r="B395" s="46" t="n"/>
      <c r="C395" s="46" t="n"/>
      <c r="D395" s="47" t="n"/>
      <c r="E395" s="46" t="n"/>
      <c r="F395" s="46" t="n"/>
      <c r="G395" s="46" t="n"/>
      <c r="H395" s="46" t="n"/>
      <c r="I395" s="46">
        <f>IF($A395="","",TEXT($A395,"YYYY-MM"))</f>
        <v/>
      </c>
      <c r="J395" s="46" t="n"/>
      <c r="K395" s="48" t="n"/>
      <c r="L395" s="48" t="n"/>
      <c r="M395" s="49">
        <f>IF($A395="","",IF(AND($K395&lt;&gt;"",$L395&lt;&gt;""),$K395,IF($F395="You",$D395,IF($F395="Wife",0,IF($F395="Shared",$D395/2,0)))))</f>
        <v/>
      </c>
      <c r="N395" s="49">
        <f>IF($A395="","",IF(AND($K395&lt;&gt;"",$L395&lt;&gt;""),$L395,IF($F395="You",0,IF($F395="Wife",$D395,IF($F395="Shared",$D395/2,0)))))</f>
        <v/>
      </c>
    </row>
    <row r="396" ht="15" customHeight="1" s="43">
      <c r="A396" s="50" t="n"/>
      <c r="B396" s="51" t="n"/>
      <c r="C396" s="51" t="n"/>
      <c r="D396" s="52" t="n"/>
      <c r="E396" s="51" t="n"/>
      <c r="F396" s="51" t="n"/>
      <c r="G396" s="51" t="n"/>
      <c r="H396" s="51" t="n"/>
      <c r="I396" s="51">
        <f>IF($A396="","",TEXT($A396,"YYYY-MM"))</f>
        <v/>
      </c>
      <c r="J396" s="51" t="n"/>
      <c r="K396" s="53" t="n"/>
      <c r="L396" s="53" t="n"/>
      <c r="M396" s="54">
        <f>IF($A396="","",IF(AND($K396&lt;&gt;"",$L396&lt;&gt;""),$K396,IF($F396="You",$D396,IF($F396="Wife",0,IF($F396="Shared",$D396/2,0)))))</f>
        <v/>
      </c>
      <c r="N396" s="54">
        <f>IF($A396="","",IF(AND($K396&lt;&gt;"",$L396&lt;&gt;""),$L396,IF($F396="You",0,IF($F396="Wife",$D396,IF($F396="Shared",$D396/2,0)))))</f>
        <v/>
      </c>
    </row>
    <row r="397" ht="15" customHeight="1" s="43">
      <c r="A397" s="45" t="n"/>
      <c r="B397" s="46" t="n"/>
      <c r="C397" s="46" t="n"/>
      <c r="D397" s="47" t="n"/>
      <c r="E397" s="46" t="n"/>
      <c r="F397" s="46" t="n"/>
      <c r="G397" s="46" t="n"/>
      <c r="H397" s="46" t="n"/>
      <c r="I397" s="46">
        <f>IF($A397="","",TEXT($A397,"YYYY-MM"))</f>
        <v/>
      </c>
      <c r="J397" s="46" t="n"/>
      <c r="K397" s="48" t="n"/>
      <c r="L397" s="48" t="n"/>
      <c r="M397" s="49">
        <f>IF($A397="","",IF(AND($K397&lt;&gt;"",$L397&lt;&gt;""),$K397,IF($F397="You",$D397,IF($F397="Wife",0,IF($F397="Shared",$D397/2,0)))))</f>
        <v/>
      </c>
      <c r="N397" s="49">
        <f>IF($A397="","",IF(AND($K397&lt;&gt;"",$L397&lt;&gt;""),$L397,IF($F397="You",0,IF($F397="Wife",$D397,IF($F397="Shared",$D397/2,0)))))</f>
        <v/>
      </c>
    </row>
    <row r="398" ht="15" customHeight="1" s="43">
      <c r="A398" s="50" t="n"/>
      <c r="B398" s="51" t="n"/>
      <c r="C398" s="51" t="n"/>
      <c r="D398" s="52" t="n"/>
      <c r="E398" s="51" t="n"/>
      <c r="F398" s="51" t="n"/>
      <c r="G398" s="51" t="n"/>
      <c r="H398" s="51" t="n"/>
      <c r="I398" s="51">
        <f>IF($A398="","",TEXT($A398,"YYYY-MM"))</f>
        <v/>
      </c>
      <c r="J398" s="51" t="n"/>
      <c r="K398" s="53" t="n"/>
      <c r="L398" s="53" t="n"/>
      <c r="M398" s="54">
        <f>IF($A398="","",IF(AND($K398&lt;&gt;"",$L398&lt;&gt;""),$K398,IF($F398="You",$D398,IF($F398="Wife",0,IF($F398="Shared",$D398/2,0)))))</f>
        <v/>
      </c>
      <c r="N398" s="54">
        <f>IF($A398="","",IF(AND($K398&lt;&gt;"",$L398&lt;&gt;""),$L398,IF($F398="You",0,IF($F398="Wife",$D398,IF($F398="Shared",$D398/2,0)))))</f>
        <v/>
      </c>
    </row>
    <row r="399" ht="15" customHeight="1" s="43">
      <c r="A399" s="45" t="n"/>
      <c r="B399" s="46" t="n"/>
      <c r="C399" s="46" t="n"/>
      <c r="D399" s="47" t="n"/>
      <c r="E399" s="46" t="n"/>
      <c r="F399" s="46" t="n"/>
      <c r="G399" s="46" t="n"/>
      <c r="H399" s="46" t="n"/>
      <c r="I399" s="46">
        <f>IF($A399="","",TEXT($A399,"YYYY-MM"))</f>
        <v/>
      </c>
      <c r="J399" s="46" t="n"/>
      <c r="K399" s="48" t="n"/>
      <c r="L399" s="48" t="n"/>
      <c r="M399" s="49">
        <f>IF($A399="","",IF(AND($K399&lt;&gt;"",$L399&lt;&gt;""),$K399,IF($F399="You",$D399,IF($F399="Wife",0,IF($F399="Shared",$D399/2,0)))))</f>
        <v/>
      </c>
      <c r="N399" s="49">
        <f>IF($A399="","",IF(AND($K399&lt;&gt;"",$L399&lt;&gt;""),$L399,IF($F399="You",0,IF($F399="Wife",$D399,IF($F399="Shared",$D399/2,0)))))</f>
        <v/>
      </c>
    </row>
    <row r="400" ht="15" customHeight="1" s="43">
      <c r="A400" s="50" t="n"/>
      <c r="B400" s="51" t="n"/>
      <c r="C400" s="51" t="n"/>
      <c r="D400" s="52" t="n"/>
      <c r="E400" s="51" t="n"/>
      <c r="F400" s="51" t="n"/>
      <c r="G400" s="51" t="n"/>
      <c r="H400" s="51" t="n"/>
      <c r="I400" s="51">
        <f>IF($A400="","",TEXT($A400,"YYYY-MM"))</f>
        <v/>
      </c>
      <c r="J400" s="51" t="n"/>
      <c r="K400" s="53" t="n"/>
      <c r="L400" s="53" t="n"/>
      <c r="M400" s="54">
        <f>IF($A400="","",IF(AND($K400&lt;&gt;"",$L400&lt;&gt;""),$K400,IF($F400="You",$D400,IF($F400="Wife",0,IF($F400="Shared",$D400/2,0)))))</f>
        <v/>
      </c>
      <c r="N400" s="54">
        <f>IF($A400="","",IF(AND($K400&lt;&gt;"",$L400&lt;&gt;""),$L400,IF($F400="You",0,IF($F400="Wife",$D400,IF($F400="Shared",$D400/2,0)))))</f>
        <v/>
      </c>
    </row>
    <row r="401" ht="15" customHeight="1" s="43">
      <c r="A401" s="45" t="n"/>
      <c r="B401" s="46" t="n"/>
      <c r="C401" s="46" t="n"/>
      <c r="D401" s="47" t="n"/>
      <c r="E401" s="46" t="n"/>
      <c r="F401" s="46" t="n"/>
      <c r="G401" s="46" t="n"/>
      <c r="H401" s="46" t="n"/>
      <c r="I401" s="46">
        <f>IF($A401="","",TEXT($A401,"YYYY-MM"))</f>
        <v/>
      </c>
      <c r="J401" s="46" t="n"/>
      <c r="K401" s="48" t="n"/>
      <c r="L401" s="48" t="n"/>
      <c r="M401" s="49">
        <f>IF($A401="","",IF(AND($K401&lt;&gt;"",$L401&lt;&gt;""),$K401,IF($F401="You",$D401,IF($F401="Wife",0,IF($F401="Shared",$D401/2,0)))))</f>
        <v/>
      </c>
      <c r="N401" s="49">
        <f>IF($A401="","",IF(AND($K401&lt;&gt;"",$L401&lt;&gt;""),$L401,IF($F401="You",0,IF($F401="Wife",$D401,IF($F401="Shared",$D401/2,0)))))</f>
        <v/>
      </c>
    </row>
    <row r="402" ht="15" customHeight="1" s="43">
      <c r="A402" s="50" t="n"/>
      <c r="B402" s="51" t="n"/>
      <c r="C402" s="51" t="n"/>
      <c r="D402" s="52" t="n"/>
      <c r="E402" s="51" t="n"/>
      <c r="F402" s="51" t="n"/>
      <c r="G402" s="51" t="n"/>
      <c r="H402" s="51" t="n"/>
      <c r="I402" s="51">
        <f>IF($A402="","",TEXT($A402,"YYYY-MM"))</f>
        <v/>
      </c>
      <c r="J402" s="51" t="n"/>
      <c r="K402" s="53" t="n"/>
      <c r="L402" s="53" t="n"/>
      <c r="M402" s="54">
        <f>IF($A402="","",IF(AND($K402&lt;&gt;"",$L402&lt;&gt;""),$K402,IF($F402="You",$D402,IF($F402="Wife",0,IF($F402="Shared",$D402/2,0)))))</f>
        <v/>
      </c>
      <c r="N402" s="54">
        <f>IF($A402="","",IF(AND($K402&lt;&gt;"",$L402&lt;&gt;""),$L402,IF($F402="You",0,IF($F402="Wife",$D402,IF($F402="Shared",$D402/2,0)))))</f>
        <v/>
      </c>
    </row>
    <row r="403" ht="15" customHeight="1" s="43">
      <c r="A403" s="45" t="n"/>
      <c r="B403" s="46" t="n"/>
      <c r="C403" s="46" t="n"/>
      <c r="D403" s="47" t="n"/>
      <c r="E403" s="46" t="n"/>
      <c r="F403" s="46" t="n"/>
      <c r="G403" s="46" t="n"/>
      <c r="H403" s="46" t="n"/>
      <c r="I403" s="46">
        <f>IF($A403="","",TEXT($A403,"YYYY-MM"))</f>
        <v/>
      </c>
      <c r="J403" s="46" t="n"/>
      <c r="K403" s="48" t="n"/>
      <c r="L403" s="48" t="n"/>
      <c r="M403" s="49">
        <f>IF($A403="","",IF(AND($K403&lt;&gt;"",$L403&lt;&gt;""),$K403,IF($F403="You",$D403,IF($F403="Wife",0,IF($F403="Shared",$D403/2,0)))))</f>
        <v/>
      </c>
      <c r="N403" s="49">
        <f>IF($A403="","",IF(AND($K403&lt;&gt;"",$L403&lt;&gt;""),$L403,IF($F403="You",0,IF($F403="Wife",$D403,IF($F403="Shared",$D403/2,0)))))</f>
        <v/>
      </c>
    </row>
    <row r="404" ht="15" customHeight="1" s="43">
      <c r="A404" s="50" t="n"/>
      <c r="B404" s="51" t="n"/>
      <c r="C404" s="51" t="n"/>
      <c r="D404" s="52" t="n"/>
      <c r="E404" s="51" t="n"/>
      <c r="F404" s="51" t="n"/>
      <c r="G404" s="51" t="n"/>
      <c r="H404" s="51" t="n"/>
      <c r="I404" s="51">
        <f>IF($A404="","",TEXT($A404,"YYYY-MM"))</f>
        <v/>
      </c>
      <c r="J404" s="51" t="n"/>
      <c r="K404" s="53" t="n"/>
      <c r="L404" s="53" t="n"/>
      <c r="M404" s="54">
        <f>IF($A404="","",IF(AND($K404&lt;&gt;"",$L404&lt;&gt;""),$K404,IF($F404="You",$D404,IF($F404="Wife",0,IF($F404="Shared",$D404/2,0)))))</f>
        <v/>
      </c>
      <c r="N404" s="54">
        <f>IF($A404="","",IF(AND($K404&lt;&gt;"",$L404&lt;&gt;""),$L404,IF($F404="You",0,IF($F404="Wife",$D404,IF($F404="Shared",$D404/2,0)))))</f>
        <v/>
      </c>
    </row>
    <row r="405" ht="15" customHeight="1" s="43">
      <c r="A405" s="45" t="n"/>
      <c r="B405" s="46" t="n"/>
      <c r="C405" s="46" t="n"/>
      <c r="D405" s="47" t="n"/>
      <c r="E405" s="46" t="n"/>
      <c r="F405" s="46" t="n"/>
      <c r="G405" s="46" t="n"/>
      <c r="H405" s="46" t="n"/>
      <c r="I405" s="46">
        <f>IF($A405="","",TEXT($A405,"YYYY-MM"))</f>
        <v/>
      </c>
      <c r="J405" s="46" t="n"/>
      <c r="K405" s="48" t="n"/>
      <c r="L405" s="48" t="n"/>
      <c r="M405" s="49">
        <f>IF($A405="","",IF(AND($K405&lt;&gt;"",$L405&lt;&gt;""),$K405,IF($F405="You",$D405,IF($F405="Wife",0,IF($F405="Shared",$D405/2,0)))))</f>
        <v/>
      </c>
      <c r="N405" s="49">
        <f>IF($A405="","",IF(AND($K405&lt;&gt;"",$L405&lt;&gt;""),$L405,IF($F405="You",0,IF($F405="Wife",$D405,IF($F405="Shared",$D405/2,0)))))</f>
        <v/>
      </c>
    </row>
    <row r="406" ht="15" customHeight="1" s="43">
      <c r="A406" s="50" t="n"/>
      <c r="B406" s="51" t="n"/>
      <c r="C406" s="51" t="n"/>
      <c r="D406" s="52" t="n"/>
      <c r="E406" s="51" t="n"/>
      <c r="F406" s="51" t="n"/>
      <c r="G406" s="51" t="n"/>
      <c r="H406" s="51" t="n"/>
      <c r="I406" s="51">
        <f>IF($A406="","",TEXT($A406,"YYYY-MM"))</f>
        <v/>
      </c>
      <c r="J406" s="51" t="n"/>
      <c r="K406" s="53" t="n"/>
      <c r="L406" s="53" t="n"/>
      <c r="M406" s="54">
        <f>IF($A406="","",IF(AND($K406&lt;&gt;"",$L406&lt;&gt;""),$K406,IF($F406="You",$D406,IF($F406="Wife",0,IF($F406="Shared",$D406/2,0)))))</f>
        <v/>
      </c>
      <c r="N406" s="54">
        <f>IF($A406="","",IF(AND($K406&lt;&gt;"",$L406&lt;&gt;""),$L406,IF($F406="You",0,IF($F406="Wife",$D406,IF($F406="Shared",$D406/2,0)))))</f>
        <v/>
      </c>
    </row>
    <row r="407" ht="15" customHeight="1" s="43">
      <c r="A407" s="45" t="n"/>
      <c r="B407" s="46" t="n"/>
      <c r="C407" s="46" t="n"/>
      <c r="D407" s="47" t="n"/>
      <c r="E407" s="46" t="n"/>
      <c r="F407" s="46" t="n"/>
      <c r="G407" s="46" t="n"/>
      <c r="H407" s="46" t="n"/>
      <c r="I407" s="46">
        <f>IF($A407="","",TEXT($A407,"YYYY-MM"))</f>
        <v/>
      </c>
      <c r="J407" s="46" t="n"/>
      <c r="K407" s="48" t="n"/>
      <c r="L407" s="48" t="n"/>
      <c r="M407" s="49">
        <f>IF($A407="","",IF(AND($K407&lt;&gt;"",$L407&lt;&gt;""),$K407,IF($F407="You",$D407,IF($F407="Wife",0,IF($F407="Shared",$D407/2,0)))))</f>
        <v/>
      </c>
      <c r="N407" s="49">
        <f>IF($A407="","",IF(AND($K407&lt;&gt;"",$L407&lt;&gt;""),$L407,IF($F407="You",0,IF($F407="Wife",$D407,IF($F407="Shared",$D407/2,0)))))</f>
        <v/>
      </c>
    </row>
    <row r="408" ht="15" customHeight="1" s="43">
      <c r="A408" s="50" t="n"/>
      <c r="B408" s="51" t="n"/>
      <c r="C408" s="51" t="n"/>
      <c r="D408" s="52" t="n"/>
      <c r="E408" s="51" t="n"/>
      <c r="F408" s="51" t="n"/>
      <c r="G408" s="51" t="n"/>
      <c r="H408" s="51" t="n"/>
      <c r="I408" s="51">
        <f>IF($A408="","",TEXT($A408,"YYYY-MM"))</f>
        <v/>
      </c>
      <c r="J408" s="51" t="n"/>
      <c r="K408" s="53" t="n"/>
      <c r="L408" s="53" t="n"/>
      <c r="M408" s="54">
        <f>IF($A408="","",IF(AND($K408&lt;&gt;"",$L408&lt;&gt;""),$K408,IF($F408="You",$D408,IF($F408="Wife",0,IF($F408="Shared",$D408/2,0)))))</f>
        <v/>
      </c>
      <c r="N408" s="54">
        <f>IF($A408="","",IF(AND($K408&lt;&gt;"",$L408&lt;&gt;""),$L408,IF($F408="You",0,IF($F408="Wife",$D408,IF($F408="Shared",$D408/2,0)))))</f>
        <v/>
      </c>
    </row>
    <row r="409" ht="15" customHeight="1" s="43">
      <c r="A409" s="45" t="n"/>
      <c r="B409" s="46" t="n"/>
      <c r="C409" s="46" t="n"/>
      <c r="D409" s="47" t="n"/>
      <c r="E409" s="46" t="n"/>
      <c r="F409" s="46" t="n"/>
      <c r="G409" s="46" t="n"/>
      <c r="H409" s="46" t="n"/>
      <c r="I409" s="46">
        <f>IF($A409="","",TEXT($A409,"YYYY-MM"))</f>
        <v/>
      </c>
      <c r="J409" s="46" t="n"/>
      <c r="K409" s="48" t="n"/>
      <c r="L409" s="48" t="n"/>
      <c r="M409" s="49">
        <f>IF($A409="","",IF(AND($K409&lt;&gt;"",$L409&lt;&gt;""),$K409,IF($F409="You",$D409,IF($F409="Wife",0,IF($F409="Shared",$D409/2,0)))))</f>
        <v/>
      </c>
      <c r="N409" s="49">
        <f>IF($A409="","",IF(AND($K409&lt;&gt;"",$L409&lt;&gt;""),$L409,IF($F409="You",0,IF($F409="Wife",$D409,IF($F409="Shared",$D409/2,0)))))</f>
        <v/>
      </c>
    </row>
    <row r="410" ht="15" customHeight="1" s="43">
      <c r="A410" s="50" t="n"/>
      <c r="B410" s="51" t="n"/>
      <c r="C410" s="51" t="n"/>
      <c r="D410" s="52" t="n"/>
      <c r="E410" s="51" t="n"/>
      <c r="F410" s="51" t="n"/>
      <c r="G410" s="51" t="n"/>
      <c r="H410" s="51" t="n"/>
      <c r="I410" s="51">
        <f>IF($A410="","",TEXT($A410,"YYYY-MM"))</f>
        <v/>
      </c>
      <c r="J410" s="51" t="n"/>
      <c r="K410" s="53" t="n"/>
      <c r="L410" s="53" t="n"/>
      <c r="M410" s="54">
        <f>IF($A410="","",IF(AND($K410&lt;&gt;"",$L410&lt;&gt;""),$K410,IF($F410="You",$D410,IF($F410="Wife",0,IF($F410="Shared",$D410/2,0)))))</f>
        <v/>
      </c>
      <c r="N410" s="54">
        <f>IF($A410="","",IF(AND($K410&lt;&gt;"",$L410&lt;&gt;""),$L410,IF($F410="You",0,IF($F410="Wife",$D410,IF($F410="Shared",$D410/2,0)))))</f>
        <v/>
      </c>
    </row>
    <row r="411" ht="15" customHeight="1" s="43">
      <c r="A411" s="45" t="n"/>
      <c r="B411" s="46" t="n"/>
      <c r="C411" s="46" t="n"/>
      <c r="D411" s="47" t="n"/>
      <c r="E411" s="46" t="n"/>
      <c r="F411" s="46" t="n"/>
      <c r="G411" s="46" t="n"/>
      <c r="H411" s="46" t="n"/>
      <c r="I411" s="46">
        <f>IF($A411="","",TEXT($A411,"YYYY-MM"))</f>
        <v/>
      </c>
      <c r="J411" s="46" t="n"/>
      <c r="K411" s="48" t="n"/>
      <c r="L411" s="48" t="n"/>
      <c r="M411" s="49">
        <f>IF($A411="","",IF(AND($K411&lt;&gt;"",$L411&lt;&gt;""),$K411,IF($F411="You",$D411,IF($F411="Wife",0,IF($F411="Shared",$D411/2,0)))))</f>
        <v/>
      </c>
      <c r="N411" s="49">
        <f>IF($A411="","",IF(AND($K411&lt;&gt;"",$L411&lt;&gt;""),$L411,IF($F411="You",0,IF($F411="Wife",$D411,IF($F411="Shared",$D411/2,0)))))</f>
        <v/>
      </c>
    </row>
    <row r="412" ht="15" customHeight="1" s="43">
      <c r="A412" s="50" t="n"/>
      <c r="B412" s="51" t="n"/>
      <c r="C412" s="51" t="n"/>
      <c r="D412" s="52" t="n"/>
      <c r="E412" s="51" t="n"/>
      <c r="F412" s="51" t="n"/>
      <c r="G412" s="51" t="n"/>
      <c r="H412" s="51" t="n"/>
      <c r="I412" s="51">
        <f>IF($A412="","",TEXT($A412,"YYYY-MM"))</f>
        <v/>
      </c>
      <c r="J412" s="51" t="n"/>
      <c r="K412" s="53" t="n"/>
      <c r="L412" s="53" t="n"/>
      <c r="M412" s="54">
        <f>IF($A412="","",IF(AND($K412&lt;&gt;"",$L412&lt;&gt;""),$K412,IF($F412="You",$D412,IF($F412="Wife",0,IF($F412="Shared",$D412/2,0)))))</f>
        <v/>
      </c>
      <c r="N412" s="54">
        <f>IF($A412="","",IF(AND($K412&lt;&gt;"",$L412&lt;&gt;""),$L412,IF($F412="You",0,IF($F412="Wife",$D412,IF($F412="Shared",$D412/2,0)))))</f>
        <v/>
      </c>
    </row>
    <row r="413" ht="15" customHeight="1" s="43">
      <c r="A413" s="45" t="n"/>
      <c r="B413" s="46" t="n"/>
      <c r="C413" s="46" t="n"/>
      <c r="D413" s="47" t="n"/>
      <c r="E413" s="46" t="n"/>
      <c r="F413" s="46" t="n"/>
      <c r="G413" s="46" t="n"/>
      <c r="H413" s="46" t="n"/>
      <c r="I413" s="46">
        <f>IF($A413="","",TEXT($A413,"YYYY-MM"))</f>
        <v/>
      </c>
      <c r="J413" s="46" t="n"/>
      <c r="K413" s="48" t="n"/>
      <c r="L413" s="48" t="n"/>
      <c r="M413" s="49">
        <f>IF($A413="","",IF(AND($K413&lt;&gt;"",$L413&lt;&gt;""),$K413,IF($F413="You",$D413,IF($F413="Wife",0,IF($F413="Shared",$D413/2,0)))))</f>
        <v/>
      </c>
      <c r="N413" s="49">
        <f>IF($A413="","",IF(AND($K413&lt;&gt;"",$L413&lt;&gt;""),$L413,IF($F413="You",0,IF($F413="Wife",$D413,IF($F413="Shared",$D413/2,0)))))</f>
        <v/>
      </c>
    </row>
    <row r="414" ht="15" customHeight="1" s="43">
      <c r="A414" s="50" t="n"/>
      <c r="B414" s="51" t="n"/>
      <c r="C414" s="51" t="n"/>
      <c r="D414" s="52" t="n"/>
      <c r="E414" s="51" t="n"/>
      <c r="F414" s="51" t="n"/>
      <c r="G414" s="51" t="n"/>
      <c r="H414" s="51" t="n"/>
      <c r="I414" s="51">
        <f>IF($A414="","",TEXT($A414,"YYYY-MM"))</f>
        <v/>
      </c>
      <c r="J414" s="51" t="n"/>
      <c r="K414" s="53" t="n"/>
      <c r="L414" s="53" t="n"/>
      <c r="M414" s="54">
        <f>IF($A414="","",IF(AND($K414&lt;&gt;"",$L414&lt;&gt;""),$K414,IF($F414="You",$D414,IF($F414="Wife",0,IF($F414="Shared",$D414/2,0)))))</f>
        <v/>
      </c>
      <c r="N414" s="54">
        <f>IF($A414="","",IF(AND($K414&lt;&gt;"",$L414&lt;&gt;""),$L414,IF($F414="You",0,IF($F414="Wife",$D414,IF($F414="Shared",$D414/2,0)))))</f>
        <v/>
      </c>
    </row>
    <row r="415" ht="15" customHeight="1" s="43">
      <c r="A415" s="45" t="n"/>
      <c r="B415" s="46" t="n"/>
      <c r="C415" s="46" t="n"/>
      <c r="D415" s="47" t="n"/>
      <c r="E415" s="46" t="n"/>
      <c r="F415" s="46" t="n"/>
      <c r="G415" s="46" t="n"/>
      <c r="H415" s="46" t="n"/>
      <c r="I415" s="46">
        <f>IF($A415="","",TEXT($A415,"YYYY-MM"))</f>
        <v/>
      </c>
      <c r="J415" s="46" t="n"/>
      <c r="K415" s="48" t="n"/>
      <c r="L415" s="48" t="n"/>
      <c r="M415" s="49">
        <f>IF($A415="","",IF(AND($K415&lt;&gt;"",$L415&lt;&gt;""),$K415,IF($F415="You",$D415,IF($F415="Wife",0,IF($F415="Shared",$D415/2,0)))))</f>
        <v/>
      </c>
      <c r="N415" s="49">
        <f>IF($A415="","",IF(AND($K415&lt;&gt;"",$L415&lt;&gt;""),$L415,IF($F415="You",0,IF($F415="Wife",$D415,IF($F415="Shared",$D415/2,0)))))</f>
        <v/>
      </c>
    </row>
    <row r="416" ht="15" customHeight="1" s="43">
      <c r="A416" s="50" t="n"/>
      <c r="B416" s="51" t="n"/>
      <c r="C416" s="51" t="n"/>
      <c r="D416" s="52" t="n"/>
      <c r="E416" s="51" t="n"/>
      <c r="F416" s="51" t="n"/>
      <c r="G416" s="51" t="n"/>
      <c r="H416" s="51" t="n"/>
      <c r="I416" s="51">
        <f>IF($A416="","",TEXT($A416,"YYYY-MM"))</f>
        <v/>
      </c>
      <c r="J416" s="51" t="n"/>
      <c r="K416" s="53" t="n"/>
      <c r="L416" s="53" t="n"/>
      <c r="M416" s="54">
        <f>IF($A416="","",IF(AND($K416&lt;&gt;"",$L416&lt;&gt;""),$K416,IF($F416="You",$D416,IF($F416="Wife",0,IF($F416="Shared",$D416/2,0)))))</f>
        <v/>
      </c>
      <c r="N416" s="54">
        <f>IF($A416="","",IF(AND($K416&lt;&gt;"",$L416&lt;&gt;""),$L416,IF($F416="You",0,IF($F416="Wife",$D416,IF($F416="Shared",$D416/2,0)))))</f>
        <v/>
      </c>
    </row>
    <row r="417" ht="15" customHeight="1" s="43">
      <c r="A417" s="45" t="n"/>
      <c r="B417" s="46" t="n"/>
      <c r="C417" s="46" t="n"/>
      <c r="D417" s="47" t="n"/>
      <c r="E417" s="46" t="n"/>
      <c r="F417" s="46" t="n"/>
      <c r="G417" s="46" t="n"/>
      <c r="H417" s="46" t="n"/>
      <c r="I417" s="46">
        <f>IF($A417="","",TEXT($A417,"YYYY-MM"))</f>
        <v/>
      </c>
      <c r="J417" s="46" t="n"/>
      <c r="K417" s="48" t="n"/>
      <c r="L417" s="48" t="n"/>
      <c r="M417" s="49">
        <f>IF($A417="","",IF(AND($K417&lt;&gt;"",$L417&lt;&gt;""),$K417,IF($F417="You",$D417,IF($F417="Wife",0,IF($F417="Shared",$D417/2,0)))))</f>
        <v/>
      </c>
      <c r="N417" s="49">
        <f>IF($A417="","",IF(AND($K417&lt;&gt;"",$L417&lt;&gt;""),$L417,IF($F417="You",0,IF($F417="Wife",$D417,IF($F417="Shared",$D417/2,0)))))</f>
        <v/>
      </c>
    </row>
    <row r="418" ht="15" customHeight="1" s="43">
      <c r="A418" s="50" t="n"/>
      <c r="B418" s="51" t="n"/>
      <c r="C418" s="51" t="n"/>
      <c r="D418" s="52" t="n"/>
      <c r="E418" s="51" t="n"/>
      <c r="F418" s="51" t="n"/>
      <c r="G418" s="51" t="n"/>
      <c r="H418" s="51" t="n"/>
      <c r="I418" s="51">
        <f>IF($A418="","",TEXT($A418,"YYYY-MM"))</f>
        <v/>
      </c>
      <c r="J418" s="51" t="n"/>
      <c r="K418" s="53" t="n"/>
      <c r="L418" s="53" t="n"/>
      <c r="M418" s="54">
        <f>IF($A418="","",IF(AND($K418&lt;&gt;"",$L418&lt;&gt;""),$K418,IF($F418="You",$D418,IF($F418="Wife",0,IF($F418="Shared",$D418/2,0)))))</f>
        <v/>
      </c>
      <c r="N418" s="54">
        <f>IF($A418="","",IF(AND($K418&lt;&gt;"",$L418&lt;&gt;""),$L418,IF($F418="You",0,IF($F418="Wife",$D418,IF($F418="Shared",$D418/2,0)))))</f>
        <v/>
      </c>
    </row>
    <row r="419" ht="15" customHeight="1" s="43">
      <c r="A419" s="45" t="n"/>
      <c r="B419" s="46" t="n"/>
      <c r="C419" s="46" t="n"/>
      <c r="D419" s="47" t="n"/>
      <c r="E419" s="46" t="n"/>
      <c r="F419" s="46" t="n"/>
      <c r="G419" s="46" t="n"/>
      <c r="H419" s="46" t="n"/>
      <c r="I419" s="46">
        <f>IF($A419="","",TEXT($A419,"YYYY-MM"))</f>
        <v/>
      </c>
      <c r="J419" s="46" t="n"/>
      <c r="K419" s="48" t="n"/>
      <c r="L419" s="48" t="n"/>
      <c r="M419" s="49">
        <f>IF($A419="","",IF(AND($K419&lt;&gt;"",$L419&lt;&gt;""),$K419,IF($F419="You",$D419,IF($F419="Wife",0,IF($F419="Shared",$D419/2,0)))))</f>
        <v/>
      </c>
      <c r="N419" s="49">
        <f>IF($A419="","",IF(AND($K419&lt;&gt;"",$L419&lt;&gt;""),$L419,IF($F419="You",0,IF($F419="Wife",$D419,IF($F419="Shared",$D419/2,0)))))</f>
        <v/>
      </c>
    </row>
    <row r="420" ht="15" customHeight="1" s="43">
      <c r="A420" s="50" t="n"/>
      <c r="B420" s="51" t="n"/>
      <c r="C420" s="51" t="n"/>
      <c r="D420" s="52" t="n"/>
      <c r="E420" s="51" t="n"/>
      <c r="F420" s="51" t="n"/>
      <c r="G420" s="51" t="n"/>
      <c r="H420" s="51" t="n"/>
      <c r="I420" s="51">
        <f>IF($A420="","",TEXT($A420,"YYYY-MM"))</f>
        <v/>
      </c>
      <c r="J420" s="51" t="n"/>
      <c r="K420" s="53" t="n"/>
      <c r="L420" s="53" t="n"/>
      <c r="M420" s="54">
        <f>IF($A420="","",IF(AND($K420&lt;&gt;"",$L420&lt;&gt;""),$K420,IF($F420="You",$D420,IF($F420="Wife",0,IF($F420="Shared",$D420/2,0)))))</f>
        <v/>
      </c>
      <c r="N420" s="54">
        <f>IF($A420="","",IF(AND($K420&lt;&gt;"",$L420&lt;&gt;""),$L420,IF($F420="You",0,IF($F420="Wife",$D420,IF($F420="Shared",$D420/2,0)))))</f>
        <v/>
      </c>
    </row>
    <row r="421" ht="15" customHeight="1" s="43">
      <c r="A421" s="45" t="n"/>
      <c r="B421" s="46" t="n"/>
      <c r="C421" s="46" t="n"/>
      <c r="D421" s="47" t="n"/>
      <c r="E421" s="46" t="n"/>
      <c r="F421" s="46" t="n"/>
      <c r="G421" s="46" t="n"/>
      <c r="H421" s="46" t="n"/>
      <c r="I421" s="46">
        <f>IF($A421="","",TEXT($A421,"YYYY-MM"))</f>
        <v/>
      </c>
      <c r="J421" s="46" t="n"/>
      <c r="K421" s="48" t="n"/>
      <c r="L421" s="48" t="n"/>
      <c r="M421" s="49">
        <f>IF($A421="","",IF(AND($K421&lt;&gt;"",$L421&lt;&gt;""),$K421,IF($F421="You",$D421,IF($F421="Wife",0,IF($F421="Shared",$D421/2,0)))))</f>
        <v/>
      </c>
      <c r="N421" s="49">
        <f>IF($A421="","",IF(AND($K421&lt;&gt;"",$L421&lt;&gt;""),$L421,IF($F421="You",0,IF($F421="Wife",$D421,IF($F421="Shared",$D421/2,0)))))</f>
        <v/>
      </c>
    </row>
    <row r="422" ht="15" customHeight="1" s="43">
      <c r="A422" s="50" t="n"/>
      <c r="B422" s="51" t="n"/>
      <c r="C422" s="51" t="n"/>
      <c r="D422" s="52" t="n"/>
      <c r="E422" s="51" t="n"/>
      <c r="F422" s="51" t="n"/>
      <c r="G422" s="51" t="n"/>
      <c r="H422" s="51" t="n"/>
      <c r="I422" s="51">
        <f>IF($A422="","",TEXT($A422,"YYYY-MM"))</f>
        <v/>
      </c>
      <c r="J422" s="51" t="n"/>
      <c r="K422" s="53" t="n"/>
      <c r="L422" s="53" t="n"/>
      <c r="M422" s="54">
        <f>IF($A422="","",IF(AND($K422&lt;&gt;"",$L422&lt;&gt;""),$K422,IF($F422="You",$D422,IF($F422="Wife",0,IF($F422="Shared",$D422/2,0)))))</f>
        <v/>
      </c>
      <c r="N422" s="54">
        <f>IF($A422="","",IF(AND($K422&lt;&gt;"",$L422&lt;&gt;""),$L422,IF($F422="You",0,IF($F422="Wife",$D422,IF($F422="Shared",$D422/2,0)))))</f>
        <v/>
      </c>
    </row>
    <row r="423" ht="15" customHeight="1" s="43">
      <c r="A423" s="45" t="n"/>
      <c r="B423" s="46" t="n"/>
      <c r="C423" s="46" t="n"/>
      <c r="D423" s="47" t="n"/>
      <c r="E423" s="46" t="n"/>
      <c r="F423" s="46" t="n"/>
      <c r="G423" s="46" t="n"/>
      <c r="H423" s="46" t="n"/>
      <c r="I423" s="46">
        <f>IF($A423="","",TEXT($A423,"YYYY-MM"))</f>
        <v/>
      </c>
      <c r="J423" s="46" t="n"/>
      <c r="K423" s="48" t="n"/>
      <c r="L423" s="48" t="n"/>
      <c r="M423" s="49">
        <f>IF($A423="","",IF(AND($K423&lt;&gt;"",$L423&lt;&gt;""),$K423,IF($F423="You",$D423,IF($F423="Wife",0,IF($F423="Shared",$D423/2,0)))))</f>
        <v/>
      </c>
      <c r="N423" s="49">
        <f>IF($A423="","",IF(AND($K423&lt;&gt;"",$L423&lt;&gt;""),$L423,IF($F423="You",0,IF($F423="Wife",$D423,IF($F423="Shared",$D423/2,0)))))</f>
        <v/>
      </c>
    </row>
    <row r="424" ht="15" customHeight="1" s="43">
      <c r="A424" s="50" t="n"/>
      <c r="B424" s="51" t="n"/>
      <c r="C424" s="51" t="n"/>
      <c r="D424" s="52" t="n"/>
      <c r="E424" s="51" t="n"/>
      <c r="F424" s="51" t="n"/>
      <c r="G424" s="51" t="n"/>
      <c r="H424" s="51" t="n"/>
      <c r="I424" s="51">
        <f>IF($A424="","",TEXT($A424,"YYYY-MM"))</f>
        <v/>
      </c>
      <c r="J424" s="51" t="n"/>
      <c r="K424" s="53" t="n"/>
      <c r="L424" s="53" t="n"/>
      <c r="M424" s="54">
        <f>IF($A424="","",IF(AND($K424&lt;&gt;"",$L424&lt;&gt;""),$K424,IF($F424="You",$D424,IF($F424="Wife",0,IF($F424="Shared",$D424/2,0)))))</f>
        <v/>
      </c>
      <c r="N424" s="54">
        <f>IF($A424="","",IF(AND($K424&lt;&gt;"",$L424&lt;&gt;""),$L424,IF($F424="You",0,IF($F424="Wife",$D424,IF($F424="Shared",$D424/2,0)))))</f>
        <v/>
      </c>
    </row>
    <row r="425" ht="15" customHeight="1" s="43">
      <c r="A425" s="45" t="n"/>
      <c r="B425" s="46" t="n"/>
      <c r="C425" s="46" t="n"/>
      <c r="D425" s="47" t="n"/>
      <c r="E425" s="46" t="n"/>
      <c r="F425" s="46" t="n"/>
      <c r="G425" s="46" t="n"/>
      <c r="H425" s="46" t="n"/>
      <c r="I425" s="46">
        <f>IF($A425="","",TEXT($A425,"YYYY-MM"))</f>
        <v/>
      </c>
      <c r="J425" s="46" t="n"/>
      <c r="K425" s="48" t="n"/>
      <c r="L425" s="48" t="n"/>
      <c r="M425" s="49">
        <f>IF($A425="","",IF(AND($K425&lt;&gt;"",$L425&lt;&gt;""),$K425,IF($F425="You",$D425,IF($F425="Wife",0,IF($F425="Shared",$D425/2,0)))))</f>
        <v/>
      </c>
      <c r="N425" s="49">
        <f>IF($A425="","",IF(AND($K425&lt;&gt;"",$L425&lt;&gt;""),$L425,IF($F425="You",0,IF($F425="Wife",$D425,IF($F425="Shared",$D425/2,0)))))</f>
        <v/>
      </c>
    </row>
    <row r="426" ht="15" customHeight="1" s="43">
      <c r="A426" s="50" t="n"/>
      <c r="B426" s="51" t="n"/>
      <c r="C426" s="51" t="n"/>
      <c r="D426" s="52" t="n"/>
      <c r="E426" s="51" t="n"/>
      <c r="F426" s="51" t="n"/>
      <c r="G426" s="51" t="n"/>
      <c r="H426" s="51" t="n"/>
      <c r="I426" s="51">
        <f>IF($A426="","",TEXT($A426,"YYYY-MM"))</f>
        <v/>
      </c>
      <c r="J426" s="51" t="n"/>
      <c r="K426" s="53" t="n"/>
      <c r="L426" s="53" t="n"/>
      <c r="M426" s="54">
        <f>IF($A426="","",IF(AND($K426&lt;&gt;"",$L426&lt;&gt;""),$K426,IF($F426="You",$D426,IF($F426="Wife",0,IF($F426="Shared",$D426/2,0)))))</f>
        <v/>
      </c>
      <c r="N426" s="54">
        <f>IF($A426="","",IF(AND($K426&lt;&gt;"",$L426&lt;&gt;""),$L426,IF($F426="You",0,IF($F426="Wife",$D426,IF($F426="Shared",$D426/2,0)))))</f>
        <v/>
      </c>
    </row>
    <row r="427" ht="15" customHeight="1" s="43">
      <c r="A427" s="45" t="n"/>
      <c r="B427" s="46" t="n"/>
      <c r="C427" s="46" t="n"/>
      <c r="D427" s="47" t="n"/>
      <c r="E427" s="46" t="n"/>
      <c r="F427" s="46" t="n"/>
      <c r="G427" s="46" t="n"/>
      <c r="H427" s="46" t="n"/>
      <c r="I427" s="46">
        <f>IF($A427="","",TEXT($A427,"YYYY-MM"))</f>
        <v/>
      </c>
      <c r="J427" s="46" t="n"/>
      <c r="K427" s="48" t="n"/>
      <c r="L427" s="48" t="n"/>
      <c r="M427" s="49">
        <f>IF($A427="","",IF(AND($K427&lt;&gt;"",$L427&lt;&gt;""),$K427,IF($F427="You",$D427,IF($F427="Wife",0,IF($F427="Shared",$D427/2,0)))))</f>
        <v/>
      </c>
      <c r="N427" s="49">
        <f>IF($A427="","",IF(AND($K427&lt;&gt;"",$L427&lt;&gt;""),$L427,IF($F427="You",0,IF($F427="Wife",$D427,IF($F427="Shared",$D427/2,0)))))</f>
        <v/>
      </c>
    </row>
    <row r="428" ht="15" customHeight="1" s="43">
      <c r="A428" s="50" t="n"/>
      <c r="B428" s="51" t="n"/>
      <c r="C428" s="51" t="n"/>
      <c r="D428" s="52" t="n"/>
      <c r="E428" s="51" t="n"/>
      <c r="F428" s="51" t="n"/>
      <c r="G428" s="51" t="n"/>
      <c r="H428" s="51" t="n"/>
      <c r="I428" s="51">
        <f>IF($A428="","",TEXT($A428,"YYYY-MM"))</f>
        <v/>
      </c>
      <c r="J428" s="51" t="n"/>
      <c r="K428" s="53" t="n"/>
      <c r="L428" s="53" t="n"/>
      <c r="M428" s="54">
        <f>IF($A428="","",IF(AND($K428&lt;&gt;"",$L428&lt;&gt;""),$K428,IF($F428="You",$D428,IF($F428="Wife",0,IF($F428="Shared",$D428/2,0)))))</f>
        <v/>
      </c>
      <c r="N428" s="54">
        <f>IF($A428="","",IF(AND($K428&lt;&gt;"",$L428&lt;&gt;""),$L428,IF($F428="You",0,IF($F428="Wife",$D428,IF($F428="Shared",$D428/2,0)))))</f>
        <v/>
      </c>
    </row>
    <row r="429" ht="15" customHeight="1" s="43">
      <c r="A429" s="45" t="n"/>
      <c r="B429" s="46" t="n"/>
      <c r="C429" s="46" t="n"/>
      <c r="D429" s="47" t="n"/>
      <c r="E429" s="46" t="n"/>
      <c r="F429" s="46" t="n"/>
      <c r="G429" s="46" t="n"/>
      <c r="H429" s="46" t="n"/>
      <c r="I429" s="46">
        <f>IF($A429="","",TEXT($A429,"YYYY-MM"))</f>
        <v/>
      </c>
      <c r="J429" s="46" t="n"/>
      <c r="K429" s="48" t="n"/>
      <c r="L429" s="48" t="n"/>
      <c r="M429" s="49">
        <f>IF($A429="","",IF(AND($K429&lt;&gt;"",$L429&lt;&gt;""),$K429,IF($F429="You",$D429,IF($F429="Wife",0,IF($F429="Shared",$D429/2,0)))))</f>
        <v/>
      </c>
      <c r="N429" s="49">
        <f>IF($A429="","",IF(AND($K429&lt;&gt;"",$L429&lt;&gt;""),$L429,IF($F429="You",0,IF($F429="Wife",$D429,IF($F429="Shared",$D429/2,0)))))</f>
        <v/>
      </c>
    </row>
    <row r="430" ht="15" customHeight="1" s="43">
      <c r="A430" s="50" t="n"/>
      <c r="B430" s="51" t="n"/>
      <c r="C430" s="51" t="n"/>
      <c r="D430" s="52" t="n"/>
      <c r="E430" s="51" t="n"/>
      <c r="F430" s="51" t="n"/>
      <c r="G430" s="51" t="n"/>
      <c r="H430" s="51" t="n"/>
      <c r="I430" s="51">
        <f>IF($A430="","",TEXT($A430,"YYYY-MM"))</f>
        <v/>
      </c>
      <c r="J430" s="51" t="n"/>
      <c r="K430" s="53" t="n"/>
      <c r="L430" s="53" t="n"/>
      <c r="M430" s="54">
        <f>IF($A430="","",IF(AND($K430&lt;&gt;"",$L430&lt;&gt;""),$K430,IF($F430="You",$D430,IF($F430="Wife",0,IF($F430="Shared",$D430/2,0)))))</f>
        <v/>
      </c>
      <c r="N430" s="54">
        <f>IF($A430="","",IF(AND($K430&lt;&gt;"",$L430&lt;&gt;""),$L430,IF($F430="You",0,IF($F430="Wife",$D430,IF($F430="Shared",$D430/2,0)))))</f>
        <v/>
      </c>
    </row>
    <row r="431" ht="15" customHeight="1" s="43">
      <c r="A431" s="45" t="n"/>
      <c r="B431" s="46" t="n"/>
      <c r="C431" s="46" t="n"/>
      <c r="D431" s="47" t="n"/>
      <c r="E431" s="46" t="n"/>
      <c r="F431" s="46" t="n"/>
      <c r="G431" s="46" t="n"/>
      <c r="H431" s="46" t="n"/>
      <c r="I431" s="46">
        <f>IF($A431="","",TEXT($A431,"YYYY-MM"))</f>
        <v/>
      </c>
      <c r="J431" s="46" t="n"/>
      <c r="K431" s="48" t="n"/>
      <c r="L431" s="48" t="n"/>
      <c r="M431" s="49">
        <f>IF($A431="","",IF(AND($K431&lt;&gt;"",$L431&lt;&gt;""),$K431,IF($F431="You",$D431,IF($F431="Wife",0,IF($F431="Shared",$D431/2,0)))))</f>
        <v/>
      </c>
      <c r="N431" s="49">
        <f>IF($A431="","",IF(AND($K431&lt;&gt;"",$L431&lt;&gt;""),$L431,IF($F431="You",0,IF($F431="Wife",$D431,IF($F431="Shared",$D431/2,0)))))</f>
        <v/>
      </c>
    </row>
    <row r="432" ht="15" customHeight="1" s="43">
      <c r="A432" s="50" t="n"/>
      <c r="B432" s="51" t="n"/>
      <c r="C432" s="51" t="n"/>
      <c r="D432" s="52" t="n"/>
      <c r="E432" s="51" t="n"/>
      <c r="F432" s="51" t="n"/>
      <c r="G432" s="51" t="n"/>
      <c r="H432" s="51" t="n"/>
      <c r="I432" s="51">
        <f>IF($A432="","",TEXT($A432,"YYYY-MM"))</f>
        <v/>
      </c>
      <c r="J432" s="51" t="n"/>
      <c r="K432" s="53" t="n"/>
      <c r="L432" s="53" t="n"/>
      <c r="M432" s="54">
        <f>IF($A432="","",IF(AND($K432&lt;&gt;"",$L432&lt;&gt;""),$K432,IF($F432="You",$D432,IF($F432="Wife",0,IF($F432="Shared",$D432/2,0)))))</f>
        <v/>
      </c>
      <c r="N432" s="54">
        <f>IF($A432="","",IF(AND($K432&lt;&gt;"",$L432&lt;&gt;""),$L432,IF($F432="You",0,IF($F432="Wife",$D432,IF($F432="Shared",$D432/2,0)))))</f>
        <v/>
      </c>
    </row>
    <row r="433" ht="15" customHeight="1" s="43">
      <c r="A433" s="45" t="n"/>
      <c r="B433" s="46" t="n"/>
      <c r="C433" s="46" t="n"/>
      <c r="D433" s="47" t="n"/>
      <c r="E433" s="46" t="n"/>
      <c r="F433" s="46" t="n"/>
      <c r="G433" s="46" t="n"/>
      <c r="H433" s="46" t="n"/>
      <c r="I433" s="46">
        <f>IF($A433="","",TEXT($A433,"YYYY-MM"))</f>
        <v/>
      </c>
      <c r="J433" s="46" t="n"/>
      <c r="K433" s="48" t="n"/>
      <c r="L433" s="48" t="n"/>
      <c r="M433" s="49">
        <f>IF($A433="","",IF(AND($K433&lt;&gt;"",$L433&lt;&gt;""),$K433,IF($F433="You",$D433,IF($F433="Wife",0,IF($F433="Shared",$D433/2,0)))))</f>
        <v/>
      </c>
      <c r="N433" s="49">
        <f>IF($A433="","",IF(AND($K433&lt;&gt;"",$L433&lt;&gt;""),$L433,IF($F433="You",0,IF($F433="Wife",$D433,IF($F433="Shared",$D433/2,0)))))</f>
        <v/>
      </c>
    </row>
    <row r="434" ht="15" customHeight="1" s="43">
      <c r="A434" s="50" t="n"/>
      <c r="B434" s="51" t="n"/>
      <c r="C434" s="51" t="n"/>
      <c r="D434" s="52" t="n"/>
      <c r="E434" s="51" t="n"/>
      <c r="F434" s="51" t="n"/>
      <c r="G434" s="51" t="n"/>
      <c r="H434" s="51" t="n"/>
      <c r="I434" s="51">
        <f>IF($A434="","",TEXT($A434,"YYYY-MM"))</f>
        <v/>
      </c>
      <c r="J434" s="51" t="n"/>
      <c r="K434" s="53" t="n"/>
      <c r="L434" s="53" t="n"/>
      <c r="M434" s="54">
        <f>IF($A434="","",IF(AND($K434&lt;&gt;"",$L434&lt;&gt;""),$K434,IF($F434="You",$D434,IF($F434="Wife",0,IF($F434="Shared",$D434/2,0)))))</f>
        <v/>
      </c>
      <c r="N434" s="54">
        <f>IF($A434="","",IF(AND($K434&lt;&gt;"",$L434&lt;&gt;""),$L434,IF($F434="You",0,IF($F434="Wife",$D434,IF($F434="Shared",$D434/2,0)))))</f>
        <v/>
      </c>
    </row>
    <row r="435" ht="15" customHeight="1" s="43">
      <c r="A435" s="45" t="n"/>
      <c r="B435" s="46" t="n"/>
      <c r="C435" s="46" t="n"/>
      <c r="D435" s="47" t="n"/>
      <c r="E435" s="46" t="n"/>
      <c r="F435" s="46" t="n"/>
      <c r="G435" s="46" t="n"/>
      <c r="H435" s="46" t="n"/>
      <c r="I435" s="46">
        <f>IF($A435="","",TEXT($A435,"YYYY-MM"))</f>
        <v/>
      </c>
      <c r="J435" s="46" t="n"/>
      <c r="K435" s="48" t="n"/>
      <c r="L435" s="48" t="n"/>
      <c r="M435" s="49">
        <f>IF($A435="","",IF(AND($K435&lt;&gt;"",$L435&lt;&gt;""),$K435,IF($F435="You",$D435,IF($F435="Wife",0,IF($F435="Shared",$D435/2,0)))))</f>
        <v/>
      </c>
      <c r="N435" s="49">
        <f>IF($A435="","",IF(AND($K435&lt;&gt;"",$L435&lt;&gt;""),$L435,IF($F435="You",0,IF($F435="Wife",$D435,IF($F435="Shared",$D435/2,0)))))</f>
        <v/>
      </c>
    </row>
    <row r="436" ht="15" customHeight="1" s="43">
      <c r="A436" s="50" t="n"/>
      <c r="B436" s="51" t="n"/>
      <c r="C436" s="51" t="n"/>
      <c r="D436" s="52" t="n"/>
      <c r="E436" s="51" t="n"/>
      <c r="F436" s="51" t="n"/>
      <c r="G436" s="51" t="n"/>
      <c r="H436" s="51" t="n"/>
      <c r="I436" s="51">
        <f>IF($A436="","",TEXT($A436,"YYYY-MM"))</f>
        <v/>
      </c>
      <c r="J436" s="51" t="n"/>
      <c r="K436" s="53" t="n"/>
      <c r="L436" s="53" t="n"/>
      <c r="M436" s="54">
        <f>IF($A436="","",IF(AND($K436&lt;&gt;"",$L436&lt;&gt;""),$K436,IF($F436="You",$D436,IF($F436="Wife",0,IF($F436="Shared",$D436/2,0)))))</f>
        <v/>
      </c>
      <c r="N436" s="54">
        <f>IF($A436="","",IF(AND($K436&lt;&gt;"",$L436&lt;&gt;""),$L436,IF($F436="You",0,IF($F436="Wife",$D436,IF($F436="Shared",$D436/2,0)))))</f>
        <v/>
      </c>
    </row>
    <row r="437" ht="15" customHeight="1" s="43">
      <c r="A437" s="45" t="n"/>
      <c r="B437" s="46" t="n"/>
      <c r="C437" s="46" t="n"/>
      <c r="D437" s="47" t="n"/>
      <c r="E437" s="46" t="n"/>
      <c r="F437" s="46" t="n"/>
      <c r="G437" s="46" t="n"/>
      <c r="H437" s="46" t="n"/>
      <c r="I437" s="46">
        <f>IF($A437="","",TEXT($A437,"YYYY-MM"))</f>
        <v/>
      </c>
      <c r="J437" s="46" t="n"/>
      <c r="K437" s="48" t="n"/>
      <c r="L437" s="48" t="n"/>
      <c r="M437" s="49">
        <f>IF($A437="","",IF(AND($K437&lt;&gt;"",$L437&lt;&gt;""),$K437,IF($F437="You",$D437,IF($F437="Wife",0,IF($F437="Shared",$D437/2,0)))))</f>
        <v/>
      </c>
      <c r="N437" s="49">
        <f>IF($A437="","",IF(AND($K437&lt;&gt;"",$L437&lt;&gt;""),$L437,IF($F437="You",0,IF($F437="Wife",$D437,IF($F437="Shared",$D437/2,0)))))</f>
        <v/>
      </c>
    </row>
    <row r="438" ht="15" customHeight="1" s="43">
      <c r="A438" s="50" t="n"/>
      <c r="B438" s="51" t="n"/>
      <c r="C438" s="51" t="n"/>
      <c r="D438" s="52" t="n"/>
      <c r="E438" s="51" t="n"/>
      <c r="F438" s="51" t="n"/>
      <c r="G438" s="51" t="n"/>
      <c r="H438" s="51" t="n"/>
      <c r="I438" s="51">
        <f>IF($A438="","",TEXT($A438,"YYYY-MM"))</f>
        <v/>
      </c>
      <c r="J438" s="51" t="n"/>
      <c r="K438" s="53" t="n"/>
      <c r="L438" s="53" t="n"/>
      <c r="M438" s="54">
        <f>IF($A438="","",IF(AND($K438&lt;&gt;"",$L438&lt;&gt;""),$K438,IF($F438="You",$D438,IF($F438="Wife",0,IF($F438="Shared",$D438/2,0)))))</f>
        <v/>
      </c>
      <c r="N438" s="54">
        <f>IF($A438="","",IF(AND($K438&lt;&gt;"",$L438&lt;&gt;""),$L438,IF($F438="You",0,IF($F438="Wife",$D438,IF($F438="Shared",$D438/2,0)))))</f>
        <v/>
      </c>
    </row>
    <row r="439" ht="15" customHeight="1" s="43">
      <c r="A439" s="45" t="n"/>
      <c r="B439" s="46" t="n"/>
      <c r="C439" s="46" t="n"/>
      <c r="D439" s="47" t="n"/>
      <c r="E439" s="46" t="n"/>
      <c r="F439" s="46" t="n"/>
      <c r="G439" s="46" t="n"/>
      <c r="H439" s="46" t="n"/>
      <c r="I439" s="46">
        <f>IF($A439="","",TEXT($A439,"YYYY-MM"))</f>
        <v/>
      </c>
      <c r="J439" s="46" t="n"/>
      <c r="K439" s="48" t="n"/>
      <c r="L439" s="48" t="n"/>
      <c r="M439" s="49">
        <f>IF($A439="","",IF(AND($K439&lt;&gt;"",$L439&lt;&gt;""),$K439,IF($F439="You",$D439,IF($F439="Wife",0,IF($F439="Shared",$D439/2,0)))))</f>
        <v/>
      </c>
      <c r="N439" s="49">
        <f>IF($A439="","",IF(AND($K439&lt;&gt;"",$L439&lt;&gt;""),$L439,IF($F439="You",0,IF($F439="Wife",$D439,IF($F439="Shared",$D439/2,0)))))</f>
        <v/>
      </c>
    </row>
    <row r="440" ht="15" customHeight="1" s="43">
      <c r="A440" s="50" t="n"/>
      <c r="B440" s="51" t="n"/>
      <c r="C440" s="51" t="n"/>
      <c r="D440" s="52" t="n"/>
      <c r="E440" s="51" t="n"/>
      <c r="F440" s="51" t="n"/>
      <c r="G440" s="51" t="n"/>
      <c r="H440" s="51" t="n"/>
      <c r="I440" s="51">
        <f>IF($A440="","",TEXT($A440,"YYYY-MM"))</f>
        <v/>
      </c>
      <c r="J440" s="51" t="n"/>
      <c r="K440" s="53" t="n"/>
      <c r="L440" s="53" t="n"/>
      <c r="M440" s="54">
        <f>IF($A440="","",IF(AND($K440&lt;&gt;"",$L440&lt;&gt;""),$K440,IF($F440="You",$D440,IF($F440="Wife",0,IF($F440="Shared",$D440/2,0)))))</f>
        <v/>
      </c>
      <c r="N440" s="54">
        <f>IF($A440="","",IF(AND($K440&lt;&gt;"",$L440&lt;&gt;""),$L440,IF($F440="You",0,IF($F440="Wife",$D440,IF($F440="Shared",$D440/2,0)))))</f>
        <v/>
      </c>
    </row>
    <row r="441" ht="15" customHeight="1" s="43">
      <c r="A441" s="45" t="n"/>
      <c r="B441" s="46" t="n"/>
      <c r="C441" s="46" t="n"/>
      <c r="D441" s="47" t="n"/>
      <c r="E441" s="46" t="n"/>
      <c r="F441" s="46" t="n"/>
      <c r="G441" s="46" t="n"/>
      <c r="H441" s="46" t="n"/>
      <c r="I441" s="46">
        <f>IF($A441="","",TEXT($A441,"YYYY-MM"))</f>
        <v/>
      </c>
      <c r="J441" s="46" t="n"/>
      <c r="K441" s="48" t="n"/>
      <c r="L441" s="48" t="n"/>
      <c r="M441" s="49">
        <f>IF($A441="","",IF(AND($K441&lt;&gt;"",$L441&lt;&gt;""),$K441,IF($F441="You",$D441,IF($F441="Wife",0,IF($F441="Shared",$D441/2,0)))))</f>
        <v/>
      </c>
      <c r="N441" s="49">
        <f>IF($A441="","",IF(AND($K441&lt;&gt;"",$L441&lt;&gt;""),$L441,IF($F441="You",0,IF($F441="Wife",$D441,IF($F441="Shared",$D441/2,0)))))</f>
        <v/>
      </c>
    </row>
    <row r="442" ht="15" customHeight="1" s="43">
      <c r="A442" s="50" t="n"/>
      <c r="B442" s="51" t="n"/>
      <c r="C442" s="51" t="n"/>
      <c r="D442" s="52" t="n"/>
      <c r="E442" s="51" t="n"/>
      <c r="F442" s="51" t="n"/>
      <c r="G442" s="51" t="n"/>
      <c r="H442" s="51" t="n"/>
      <c r="I442" s="51">
        <f>IF($A442="","",TEXT($A442,"YYYY-MM"))</f>
        <v/>
      </c>
      <c r="J442" s="51" t="n"/>
      <c r="K442" s="53" t="n"/>
      <c r="L442" s="53" t="n"/>
      <c r="M442" s="54">
        <f>IF($A442="","",IF(AND($K442&lt;&gt;"",$L442&lt;&gt;""),$K442,IF($F442="You",$D442,IF($F442="Wife",0,IF($F442="Shared",$D442/2,0)))))</f>
        <v/>
      </c>
      <c r="N442" s="54">
        <f>IF($A442="","",IF(AND($K442&lt;&gt;"",$L442&lt;&gt;""),$L442,IF($F442="You",0,IF($F442="Wife",$D442,IF($F442="Shared",$D442/2,0)))))</f>
        <v/>
      </c>
    </row>
    <row r="443" ht="15" customHeight="1" s="43">
      <c r="A443" s="45" t="n"/>
      <c r="B443" s="46" t="n"/>
      <c r="C443" s="46" t="n"/>
      <c r="D443" s="47" t="n"/>
      <c r="E443" s="46" t="n"/>
      <c r="F443" s="46" t="n"/>
      <c r="G443" s="46" t="n"/>
      <c r="H443" s="46" t="n"/>
      <c r="I443" s="46">
        <f>IF($A443="","",TEXT($A443,"YYYY-MM"))</f>
        <v/>
      </c>
      <c r="J443" s="46" t="n"/>
      <c r="K443" s="48" t="n"/>
      <c r="L443" s="48" t="n"/>
      <c r="M443" s="49">
        <f>IF($A443="","",IF(AND($K443&lt;&gt;"",$L443&lt;&gt;""),$K443,IF($F443="You",$D443,IF($F443="Wife",0,IF($F443="Shared",$D443/2,0)))))</f>
        <v/>
      </c>
      <c r="N443" s="49">
        <f>IF($A443="","",IF(AND($K443&lt;&gt;"",$L443&lt;&gt;""),$L443,IF($F443="You",0,IF($F443="Wife",$D443,IF($F443="Shared",$D443/2,0)))))</f>
        <v/>
      </c>
    </row>
    <row r="444" ht="15" customHeight="1" s="43">
      <c r="A444" s="50" t="n"/>
      <c r="B444" s="51" t="n"/>
      <c r="C444" s="51" t="n"/>
      <c r="D444" s="52" t="n"/>
      <c r="E444" s="51" t="n"/>
      <c r="F444" s="51" t="n"/>
      <c r="G444" s="51" t="n"/>
      <c r="H444" s="51" t="n"/>
      <c r="I444" s="51">
        <f>IF($A444="","",TEXT($A444,"YYYY-MM"))</f>
        <v/>
      </c>
      <c r="J444" s="51" t="n"/>
      <c r="K444" s="53" t="n"/>
      <c r="L444" s="53" t="n"/>
      <c r="M444" s="54">
        <f>IF($A444="","",IF(AND($K444&lt;&gt;"",$L444&lt;&gt;""),$K444,IF($F444="You",$D444,IF($F444="Wife",0,IF($F444="Shared",$D444/2,0)))))</f>
        <v/>
      </c>
      <c r="N444" s="54">
        <f>IF($A444="","",IF(AND($K444&lt;&gt;"",$L444&lt;&gt;""),$L444,IF($F444="You",0,IF($F444="Wife",$D444,IF($F444="Shared",$D444/2,0)))))</f>
        <v/>
      </c>
    </row>
    <row r="445" ht="15" customHeight="1" s="43">
      <c r="A445" s="45" t="n"/>
      <c r="B445" s="46" t="n"/>
      <c r="C445" s="46" t="n"/>
      <c r="D445" s="47" t="n"/>
      <c r="E445" s="46" t="n"/>
      <c r="F445" s="46" t="n"/>
      <c r="G445" s="46" t="n"/>
      <c r="H445" s="46" t="n"/>
      <c r="I445" s="46">
        <f>IF($A445="","",TEXT($A445,"YYYY-MM"))</f>
        <v/>
      </c>
      <c r="J445" s="46" t="n"/>
      <c r="K445" s="48" t="n"/>
      <c r="L445" s="48" t="n"/>
      <c r="M445" s="49">
        <f>IF($A445="","",IF(AND($K445&lt;&gt;"",$L445&lt;&gt;""),$K445,IF($F445="You",$D445,IF($F445="Wife",0,IF($F445="Shared",$D445/2,0)))))</f>
        <v/>
      </c>
      <c r="N445" s="49">
        <f>IF($A445="","",IF(AND($K445&lt;&gt;"",$L445&lt;&gt;""),$L445,IF($F445="You",0,IF($F445="Wife",$D445,IF($F445="Shared",$D445/2,0)))))</f>
        <v/>
      </c>
    </row>
    <row r="446" ht="15" customHeight="1" s="43">
      <c r="A446" s="50" t="n"/>
      <c r="B446" s="51" t="n"/>
      <c r="C446" s="51" t="n"/>
      <c r="D446" s="52" t="n"/>
      <c r="E446" s="51" t="n"/>
      <c r="F446" s="51" t="n"/>
      <c r="G446" s="51" t="n"/>
      <c r="H446" s="51" t="n"/>
      <c r="I446" s="51">
        <f>IF($A446="","",TEXT($A446,"YYYY-MM"))</f>
        <v/>
      </c>
      <c r="J446" s="51" t="n"/>
      <c r="K446" s="53" t="n"/>
      <c r="L446" s="53" t="n"/>
      <c r="M446" s="54">
        <f>IF($A446="","",IF(AND($K446&lt;&gt;"",$L446&lt;&gt;""),$K446,IF($F446="You",$D446,IF($F446="Wife",0,IF($F446="Shared",$D446/2,0)))))</f>
        <v/>
      </c>
      <c r="N446" s="54">
        <f>IF($A446="","",IF(AND($K446&lt;&gt;"",$L446&lt;&gt;""),$L446,IF($F446="You",0,IF($F446="Wife",$D446,IF($F446="Shared",$D446/2,0)))))</f>
        <v/>
      </c>
    </row>
    <row r="447" ht="15" customHeight="1" s="43">
      <c r="A447" s="45" t="n"/>
      <c r="B447" s="46" t="n"/>
      <c r="C447" s="46" t="n"/>
      <c r="D447" s="47" t="n"/>
      <c r="E447" s="46" t="n"/>
      <c r="F447" s="46" t="n"/>
      <c r="G447" s="46" t="n"/>
      <c r="H447" s="46" t="n"/>
      <c r="I447" s="46">
        <f>IF($A447="","",TEXT($A447,"YYYY-MM"))</f>
        <v/>
      </c>
      <c r="J447" s="46" t="n"/>
      <c r="K447" s="48" t="n"/>
      <c r="L447" s="48" t="n"/>
      <c r="M447" s="49">
        <f>IF($A447="","",IF(AND($K447&lt;&gt;"",$L447&lt;&gt;""),$K447,IF($F447="You",$D447,IF($F447="Wife",0,IF($F447="Shared",$D447/2,0)))))</f>
        <v/>
      </c>
      <c r="N447" s="49">
        <f>IF($A447="","",IF(AND($K447&lt;&gt;"",$L447&lt;&gt;""),$L447,IF($F447="You",0,IF($F447="Wife",$D447,IF($F447="Shared",$D447/2,0)))))</f>
        <v/>
      </c>
    </row>
    <row r="448" ht="15" customHeight="1" s="43">
      <c r="A448" s="50" t="n"/>
      <c r="B448" s="51" t="n"/>
      <c r="C448" s="51" t="n"/>
      <c r="D448" s="52" t="n"/>
      <c r="E448" s="51" t="n"/>
      <c r="F448" s="51" t="n"/>
      <c r="G448" s="51" t="n"/>
      <c r="H448" s="51" t="n"/>
      <c r="I448" s="51">
        <f>IF($A448="","",TEXT($A448,"YYYY-MM"))</f>
        <v/>
      </c>
      <c r="J448" s="51" t="n"/>
      <c r="K448" s="53" t="n"/>
      <c r="L448" s="53" t="n"/>
      <c r="M448" s="54">
        <f>IF($A448="","",IF(AND($K448&lt;&gt;"",$L448&lt;&gt;""),$K448,IF($F448="You",$D448,IF($F448="Wife",0,IF($F448="Shared",$D448/2,0)))))</f>
        <v/>
      </c>
      <c r="N448" s="54">
        <f>IF($A448="","",IF(AND($K448&lt;&gt;"",$L448&lt;&gt;""),$L448,IF($F448="You",0,IF($F448="Wife",$D448,IF($F448="Shared",$D448/2,0)))))</f>
        <v/>
      </c>
    </row>
    <row r="449" ht="15" customHeight="1" s="43">
      <c r="A449" s="45" t="n"/>
      <c r="B449" s="46" t="n"/>
      <c r="C449" s="46" t="n"/>
      <c r="D449" s="47" t="n"/>
      <c r="E449" s="46" t="n"/>
      <c r="F449" s="46" t="n"/>
      <c r="G449" s="46" t="n"/>
      <c r="H449" s="46" t="n"/>
      <c r="I449" s="46">
        <f>IF($A449="","",TEXT($A449,"YYYY-MM"))</f>
        <v/>
      </c>
      <c r="J449" s="46" t="n"/>
      <c r="K449" s="48" t="n"/>
      <c r="L449" s="48" t="n"/>
      <c r="M449" s="49">
        <f>IF($A449="","",IF(AND($K449&lt;&gt;"",$L449&lt;&gt;""),$K449,IF($F449="You",$D449,IF($F449="Wife",0,IF($F449="Shared",$D449/2,0)))))</f>
        <v/>
      </c>
      <c r="N449" s="49">
        <f>IF($A449="","",IF(AND($K449&lt;&gt;"",$L449&lt;&gt;""),$L449,IF($F449="You",0,IF($F449="Wife",$D449,IF($F449="Shared",$D449/2,0)))))</f>
        <v/>
      </c>
    </row>
    <row r="450" ht="15" customHeight="1" s="43">
      <c r="A450" s="50" t="n"/>
      <c r="B450" s="51" t="n"/>
      <c r="C450" s="51" t="n"/>
      <c r="D450" s="52" t="n"/>
      <c r="E450" s="51" t="n"/>
      <c r="F450" s="51" t="n"/>
      <c r="G450" s="51" t="n"/>
      <c r="H450" s="51" t="n"/>
      <c r="I450" s="51">
        <f>IF($A450="","",TEXT($A450,"YYYY-MM"))</f>
        <v/>
      </c>
      <c r="J450" s="51" t="n"/>
      <c r="K450" s="53" t="n"/>
      <c r="L450" s="53" t="n"/>
      <c r="M450" s="54">
        <f>IF($A450="","",IF(AND($K450&lt;&gt;"",$L450&lt;&gt;""),$K450,IF($F450="You",$D450,IF($F450="Wife",0,IF($F450="Shared",$D450/2,0)))))</f>
        <v/>
      </c>
      <c r="N450" s="54">
        <f>IF($A450="","",IF(AND($K450&lt;&gt;"",$L450&lt;&gt;""),$L450,IF($F450="You",0,IF($F450="Wife",$D450,IF($F450="Shared",$D450/2,0)))))</f>
        <v/>
      </c>
    </row>
    <row r="451" ht="15" customHeight="1" s="43">
      <c r="A451" s="45" t="n"/>
      <c r="B451" s="46" t="n"/>
      <c r="C451" s="46" t="n"/>
      <c r="D451" s="47" t="n"/>
      <c r="E451" s="46" t="n"/>
      <c r="F451" s="46" t="n"/>
      <c r="G451" s="46" t="n"/>
      <c r="H451" s="46" t="n"/>
      <c r="I451" s="46">
        <f>IF($A451="","",TEXT($A451,"YYYY-MM"))</f>
        <v/>
      </c>
      <c r="J451" s="46" t="n"/>
      <c r="K451" s="48" t="n"/>
      <c r="L451" s="48" t="n"/>
      <c r="M451" s="49">
        <f>IF($A451="","",IF(AND($K451&lt;&gt;"",$L451&lt;&gt;""),$K451,IF($F451="You",$D451,IF($F451="Wife",0,IF($F451="Shared",$D451/2,0)))))</f>
        <v/>
      </c>
      <c r="N451" s="49">
        <f>IF($A451="","",IF(AND($K451&lt;&gt;"",$L451&lt;&gt;""),$L451,IF($F451="You",0,IF($F451="Wife",$D451,IF($F451="Shared",$D451/2,0)))))</f>
        <v/>
      </c>
    </row>
    <row r="452" ht="15" customHeight="1" s="43">
      <c r="A452" s="50" t="n"/>
      <c r="B452" s="51" t="n"/>
      <c r="C452" s="51" t="n"/>
      <c r="D452" s="52" t="n"/>
      <c r="E452" s="51" t="n"/>
      <c r="F452" s="51" t="n"/>
      <c r="G452" s="51" t="n"/>
      <c r="H452" s="51" t="n"/>
      <c r="I452" s="51">
        <f>IF($A452="","",TEXT($A452,"YYYY-MM"))</f>
        <v/>
      </c>
      <c r="J452" s="51" t="n"/>
      <c r="K452" s="53" t="n"/>
      <c r="L452" s="53" t="n"/>
      <c r="M452" s="54">
        <f>IF($A452="","",IF(AND($K452&lt;&gt;"",$L452&lt;&gt;""),$K452,IF($F452="You",$D452,IF($F452="Wife",0,IF($F452="Shared",$D452/2,0)))))</f>
        <v/>
      </c>
      <c r="N452" s="54">
        <f>IF($A452="","",IF(AND($K452&lt;&gt;"",$L452&lt;&gt;""),$L452,IF($F452="You",0,IF($F452="Wife",$D452,IF($F452="Shared",$D452/2,0)))))</f>
        <v/>
      </c>
    </row>
    <row r="453" ht="15" customHeight="1" s="43">
      <c r="A453" s="45" t="n"/>
      <c r="B453" s="46" t="n"/>
      <c r="C453" s="46" t="n"/>
      <c r="D453" s="47" t="n"/>
      <c r="E453" s="46" t="n"/>
      <c r="F453" s="46" t="n"/>
      <c r="G453" s="46" t="n"/>
      <c r="H453" s="46" t="n"/>
      <c r="I453" s="46">
        <f>IF($A453="","",TEXT($A453,"YYYY-MM"))</f>
        <v/>
      </c>
      <c r="J453" s="46" t="n"/>
      <c r="K453" s="48" t="n"/>
      <c r="L453" s="48" t="n"/>
      <c r="M453" s="49">
        <f>IF($A453="","",IF(AND($K453&lt;&gt;"",$L453&lt;&gt;""),$K453,IF($F453="You",$D453,IF($F453="Wife",0,IF($F453="Shared",$D453/2,0)))))</f>
        <v/>
      </c>
      <c r="N453" s="49">
        <f>IF($A453="","",IF(AND($K453&lt;&gt;"",$L453&lt;&gt;""),$L453,IF($F453="You",0,IF($F453="Wife",$D453,IF($F453="Shared",$D453/2,0)))))</f>
        <v/>
      </c>
    </row>
    <row r="454" ht="15" customHeight="1" s="43">
      <c r="A454" s="50" t="n"/>
      <c r="B454" s="51" t="n"/>
      <c r="C454" s="51" t="n"/>
      <c r="D454" s="52" t="n"/>
      <c r="E454" s="51" t="n"/>
      <c r="F454" s="51" t="n"/>
      <c r="G454" s="51" t="n"/>
      <c r="H454" s="51" t="n"/>
      <c r="I454" s="51">
        <f>IF($A454="","",TEXT($A454,"YYYY-MM"))</f>
        <v/>
      </c>
      <c r="J454" s="51" t="n"/>
      <c r="K454" s="53" t="n"/>
      <c r="L454" s="53" t="n"/>
      <c r="M454" s="54">
        <f>IF($A454="","",IF(AND($K454&lt;&gt;"",$L454&lt;&gt;""),$K454,IF($F454="You",$D454,IF($F454="Wife",0,IF($F454="Shared",$D454/2,0)))))</f>
        <v/>
      </c>
      <c r="N454" s="54">
        <f>IF($A454="","",IF(AND($K454&lt;&gt;"",$L454&lt;&gt;""),$L454,IF($F454="You",0,IF($F454="Wife",$D454,IF($F454="Shared",$D454/2,0)))))</f>
        <v/>
      </c>
    </row>
    <row r="455" ht="15" customHeight="1" s="43">
      <c r="A455" s="45" t="n"/>
      <c r="B455" s="46" t="n"/>
      <c r="C455" s="46" t="n"/>
      <c r="D455" s="47" t="n"/>
      <c r="E455" s="46" t="n"/>
      <c r="F455" s="46" t="n"/>
      <c r="G455" s="46" t="n"/>
      <c r="H455" s="46" t="n"/>
      <c r="I455" s="46">
        <f>IF($A455="","",TEXT($A455,"YYYY-MM"))</f>
        <v/>
      </c>
      <c r="J455" s="46" t="n"/>
      <c r="K455" s="48" t="n"/>
      <c r="L455" s="48" t="n"/>
      <c r="M455" s="49">
        <f>IF($A455="","",IF(AND($K455&lt;&gt;"",$L455&lt;&gt;""),$K455,IF($F455="You",$D455,IF($F455="Wife",0,IF($F455="Shared",$D455/2,0)))))</f>
        <v/>
      </c>
      <c r="N455" s="49">
        <f>IF($A455="","",IF(AND($K455&lt;&gt;"",$L455&lt;&gt;""),$L455,IF($F455="You",0,IF($F455="Wife",$D455,IF($F455="Shared",$D455/2,0)))))</f>
        <v/>
      </c>
    </row>
    <row r="456" ht="15" customHeight="1" s="43">
      <c r="A456" s="50" t="n"/>
      <c r="B456" s="51" t="n"/>
      <c r="C456" s="51" t="n"/>
      <c r="D456" s="52" t="n"/>
      <c r="E456" s="51" t="n"/>
      <c r="F456" s="51" t="n"/>
      <c r="G456" s="51" t="n"/>
      <c r="H456" s="51" t="n"/>
      <c r="I456" s="51">
        <f>IF($A456="","",TEXT($A456,"YYYY-MM"))</f>
        <v/>
      </c>
      <c r="J456" s="51" t="n"/>
      <c r="K456" s="53" t="n"/>
      <c r="L456" s="53" t="n"/>
      <c r="M456" s="54">
        <f>IF($A456="","",IF(AND($K456&lt;&gt;"",$L456&lt;&gt;""),$K456,IF($F456="You",$D456,IF($F456="Wife",0,IF($F456="Shared",$D456/2,0)))))</f>
        <v/>
      </c>
      <c r="N456" s="54">
        <f>IF($A456="","",IF(AND($K456&lt;&gt;"",$L456&lt;&gt;""),$L456,IF($F456="You",0,IF($F456="Wife",$D456,IF($F456="Shared",$D456/2,0)))))</f>
        <v/>
      </c>
    </row>
    <row r="457" ht="15" customHeight="1" s="43">
      <c r="A457" s="45" t="n"/>
      <c r="B457" s="46" t="n"/>
      <c r="C457" s="46" t="n"/>
      <c r="D457" s="47" t="n"/>
      <c r="E457" s="46" t="n"/>
      <c r="F457" s="46" t="n"/>
      <c r="G457" s="46" t="n"/>
      <c r="H457" s="46" t="n"/>
      <c r="I457" s="46">
        <f>IF($A457="","",TEXT($A457,"YYYY-MM"))</f>
        <v/>
      </c>
      <c r="J457" s="46" t="n"/>
      <c r="K457" s="48" t="n"/>
      <c r="L457" s="48" t="n"/>
      <c r="M457" s="49">
        <f>IF($A457="","",IF(AND($K457&lt;&gt;"",$L457&lt;&gt;""),$K457,IF($F457="You",$D457,IF($F457="Wife",0,IF($F457="Shared",$D457/2,0)))))</f>
        <v/>
      </c>
      <c r="N457" s="49">
        <f>IF($A457="","",IF(AND($K457&lt;&gt;"",$L457&lt;&gt;""),$L457,IF($F457="You",0,IF($F457="Wife",$D457,IF($F457="Shared",$D457/2,0)))))</f>
        <v/>
      </c>
    </row>
    <row r="458" ht="15" customHeight="1" s="43">
      <c r="A458" s="50" t="n"/>
      <c r="B458" s="51" t="n"/>
      <c r="C458" s="51" t="n"/>
      <c r="D458" s="52" t="n"/>
      <c r="E458" s="51" t="n"/>
      <c r="F458" s="51" t="n"/>
      <c r="G458" s="51" t="n"/>
      <c r="H458" s="51" t="n"/>
      <c r="I458" s="51">
        <f>IF($A458="","",TEXT($A458,"YYYY-MM"))</f>
        <v/>
      </c>
      <c r="J458" s="51" t="n"/>
      <c r="K458" s="53" t="n"/>
      <c r="L458" s="53" t="n"/>
      <c r="M458" s="54">
        <f>IF($A458="","",IF(AND($K458&lt;&gt;"",$L458&lt;&gt;""),$K458,IF($F458="You",$D458,IF($F458="Wife",0,IF($F458="Shared",$D458/2,0)))))</f>
        <v/>
      </c>
      <c r="N458" s="54">
        <f>IF($A458="","",IF(AND($K458&lt;&gt;"",$L458&lt;&gt;""),$L458,IF($F458="You",0,IF($F458="Wife",$D458,IF($F458="Shared",$D458/2,0)))))</f>
        <v/>
      </c>
    </row>
    <row r="459" ht="15" customHeight="1" s="43">
      <c r="A459" s="45" t="n"/>
      <c r="B459" s="46" t="n"/>
      <c r="C459" s="46" t="n"/>
      <c r="D459" s="47" t="n"/>
      <c r="E459" s="46" t="n"/>
      <c r="F459" s="46" t="n"/>
      <c r="G459" s="46" t="n"/>
      <c r="H459" s="46" t="n"/>
      <c r="I459" s="46">
        <f>IF($A459="","",TEXT($A459,"YYYY-MM"))</f>
        <v/>
      </c>
      <c r="J459" s="46" t="n"/>
      <c r="K459" s="48" t="n"/>
      <c r="L459" s="48" t="n"/>
      <c r="M459" s="49">
        <f>IF($A459="","",IF(AND($K459&lt;&gt;"",$L459&lt;&gt;""),$K459,IF($F459="You",$D459,IF($F459="Wife",0,IF($F459="Shared",$D459/2,0)))))</f>
        <v/>
      </c>
      <c r="N459" s="49">
        <f>IF($A459="","",IF(AND($K459&lt;&gt;"",$L459&lt;&gt;""),$L459,IF($F459="You",0,IF($F459="Wife",$D459,IF($F459="Shared",$D459/2,0)))))</f>
        <v/>
      </c>
    </row>
    <row r="460" ht="15" customHeight="1" s="43">
      <c r="A460" s="50" t="n"/>
      <c r="B460" s="51" t="n"/>
      <c r="C460" s="51" t="n"/>
      <c r="D460" s="52" t="n"/>
      <c r="E460" s="51" t="n"/>
      <c r="F460" s="51" t="n"/>
      <c r="G460" s="51" t="n"/>
      <c r="H460" s="51" t="n"/>
      <c r="I460" s="51">
        <f>IF($A460="","",TEXT($A460,"YYYY-MM"))</f>
        <v/>
      </c>
      <c r="J460" s="51" t="n"/>
      <c r="K460" s="53" t="n"/>
      <c r="L460" s="53" t="n"/>
      <c r="M460" s="54">
        <f>IF($A460="","",IF(AND($K460&lt;&gt;"",$L460&lt;&gt;""),$K460,IF($F460="You",$D460,IF($F460="Wife",0,IF($F460="Shared",$D460/2,0)))))</f>
        <v/>
      </c>
      <c r="N460" s="54">
        <f>IF($A460="","",IF(AND($K460&lt;&gt;"",$L460&lt;&gt;""),$L460,IF($F460="You",0,IF($F460="Wife",$D460,IF($F460="Shared",$D460/2,0)))))</f>
        <v/>
      </c>
    </row>
    <row r="461" ht="15" customHeight="1" s="43">
      <c r="A461" s="45" t="n"/>
      <c r="B461" s="46" t="n"/>
      <c r="C461" s="46" t="n"/>
      <c r="D461" s="47" t="n"/>
      <c r="E461" s="46" t="n"/>
      <c r="F461" s="46" t="n"/>
      <c r="G461" s="46" t="n"/>
      <c r="H461" s="46" t="n"/>
      <c r="I461" s="46">
        <f>IF($A461="","",TEXT($A461,"YYYY-MM"))</f>
        <v/>
      </c>
      <c r="J461" s="46" t="n"/>
      <c r="K461" s="48" t="n"/>
      <c r="L461" s="48" t="n"/>
      <c r="M461" s="49">
        <f>IF($A461="","",IF(AND($K461&lt;&gt;"",$L461&lt;&gt;""),$K461,IF($F461="You",$D461,IF($F461="Wife",0,IF($F461="Shared",$D461/2,0)))))</f>
        <v/>
      </c>
      <c r="N461" s="49">
        <f>IF($A461="","",IF(AND($K461&lt;&gt;"",$L461&lt;&gt;""),$L461,IF($F461="You",0,IF($F461="Wife",$D461,IF($F461="Shared",$D461/2,0)))))</f>
        <v/>
      </c>
    </row>
    <row r="462" ht="15" customHeight="1" s="43">
      <c r="A462" s="50" t="n"/>
      <c r="B462" s="51" t="n"/>
      <c r="C462" s="51" t="n"/>
      <c r="D462" s="52" t="n"/>
      <c r="E462" s="51" t="n"/>
      <c r="F462" s="51" t="n"/>
      <c r="G462" s="51" t="n"/>
      <c r="H462" s="51" t="n"/>
      <c r="I462" s="51">
        <f>IF($A462="","",TEXT($A462,"YYYY-MM"))</f>
        <v/>
      </c>
      <c r="J462" s="51" t="n"/>
      <c r="K462" s="53" t="n"/>
      <c r="L462" s="53" t="n"/>
      <c r="M462" s="54">
        <f>IF($A462="","",IF(AND($K462&lt;&gt;"",$L462&lt;&gt;""),$K462,IF($F462="You",$D462,IF($F462="Wife",0,IF($F462="Shared",$D462/2,0)))))</f>
        <v/>
      </c>
      <c r="N462" s="54">
        <f>IF($A462="","",IF(AND($K462&lt;&gt;"",$L462&lt;&gt;""),$L462,IF($F462="You",0,IF($F462="Wife",$D462,IF($F462="Shared",$D462/2,0)))))</f>
        <v/>
      </c>
    </row>
    <row r="463" ht="15" customHeight="1" s="43">
      <c r="A463" s="45" t="n"/>
      <c r="B463" s="46" t="n"/>
      <c r="C463" s="46" t="n"/>
      <c r="D463" s="47" t="n"/>
      <c r="E463" s="46" t="n"/>
      <c r="F463" s="46" t="n"/>
      <c r="G463" s="46" t="n"/>
      <c r="H463" s="46" t="n"/>
      <c r="I463" s="46">
        <f>IF($A463="","",TEXT($A463,"YYYY-MM"))</f>
        <v/>
      </c>
      <c r="J463" s="46" t="n"/>
      <c r="K463" s="48" t="n"/>
      <c r="L463" s="48" t="n"/>
      <c r="M463" s="49">
        <f>IF($A463="","",IF(AND($K463&lt;&gt;"",$L463&lt;&gt;""),$K463,IF($F463="You",$D463,IF($F463="Wife",0,IF($F463="Shared",$D463/2,0)))))</f>
        <v/>
      </c>
      <c r="N463" s="49">
        <f>IF($A463="","",IF(AND($K463&lt;&gt;"",$L463&lt;&gt;""),$L463,IF($F463="You",0,IF($F463="Wife",$D463,IF($F463="Shared",$D463/2,0)))))</f>
        <v/>
      </c>
    </row>
    <row r="464" ht="15" customHeight="1" s="43">
      <c r="A464" s="50" t="n"/>
      <c r="B464" s="51" t="n"/>
      <c r="C464" s="51" t="n"/>
      <c r="D464" s="52" t="n"/>
      <c r="E464" s="51" t="n"/>
      <c r="F464" s="51" t="n"/>
      <c r="G464" s="51" t="n"/>
      <c r="H464" s="51" t="n"/>
      <c r="I464" s="51">
        <f>IF($A464="","",TEXT($A464,"YYYY-MM"))</f>
        <v/>
      </c>
      <c r="J464" s="51" t="n"/>
      <c r="K464" s="53" t="n"/>
      <c r="L464" s="53" t="n"/>
      <c r="M464" s="54">
        <f>IF($A464="","",IF(AND($K464&lt;&gt;"",$L464&lt;&gt;""),$K464,IF($F464="You",$D464,IF($F464="Wife",0,IF($F464="Shared",$D464/2,0)))))</f>
        <v/>
      </c>
      <c r="N464" s="54">
        <f>IF($A464="","",IF(AND($K464&lt;&gt;"",$L464&lt;&gt;""),$L464,IF($F464="You",0,IF($F464="Wife",$D464,IF($F464="Shared",$D464/2,0)))))</f>
        <v/>
      </c>
    </row>
    <row r="465" ht="15" customHeight="1" s="43">
      <c r="A465" s="45" t="n"/>
      <c r="B465" s="46" t="n"/>
      <c r="C465" s="46" t="n"/>
      <c r="D465" s="47" t="n"/>
      <c r="E465" s="46" t="n"/>
      <c r="F465" s="46" t="n"/>
      <c r="G465" s="46" t="n"/>
      <c r="H465" s="46" t="n"/>
      <c r="I465" s="46">
        <f>IF($A465="","",TEXT($A465,"YYYY-MM"))</f>
        <v/>
      </c>
      <c r="J465" s="46" t="n"/>
      <c r="K465" s="48" t="n"/>
      <c r="L465" s="48" t="n"/>
      <c r="M465" s="49">
        <f>IF($A465="","",IF(AND($K465&lt;&gt;"",$L465&lt;&gt;""),$K465,IF($F465="You",$D465,IF($F465="Wife",0,IF($F465="Shared",$D465/2,0)))))</f>
        <v/>
      </c>
      <c r="N465" s="49">
        <f>IF($A465="","",IF(AND($K465&lt;&gt;"",$L465&lt;&gt;""),$L465,IF($F465="You",0,IF($F465="Wife",$D465,IF($F465="Shared",$D465/2,0)))))</f>
        <v/>
      </c>
    </row>
    <row r="466" ht="15" customHeight="1" s="43">
      <c r="A466" s="50" t="n"/>
      <c r="B466" s="51" t="n"/>
      <c r="C466" s="51" t="n"/>
      <c r="D466" s="52" t="n"/>
      <c r="E466" s="51" t="n"/>
      <c r="F466" s="51" t="n"/>
      <c r="G466" s="51" t="n"/>
      <c r="H466" s="51" t="n"/>
      <c r="I466" s="51">
        <f>IF($A466="","",TEXT($A466,"YYYY-MM"))</f>
        <v/>
      </c>
      <c r="J466" s="51" t="n"/>
      <c r="K466" s="53" t="n"/>
      <c r="L466" s="53" t="n"/>
      <c r="M466" s="54">
        <f>IF($A466="","",IF(AND($K466&lt;&gt;"",$L466&lt;&gt;""),$K466,IF($F466="You",$D466,IF($F466="Wife",0,IF($F466="Shared",$D466/2,0)))))</f>
        <v/>
      </c>
      <c r="N466" s="54">
        <f>IF($A466="","",IF(AND($K466&lt;&gt;"",$L466&lt;&gt;""),$L466,IF($F466="You",0,IF($F466="Wife",$D466,IF($F466="Shared",$D466/2,0)))))</f>
        <v/>
      </c>
    </row>
    <row r="467" ht="15" customHeight="1" s="43">
      <c r="A467" s="45" t="n"/>
      <c r="B467" s="46" t="n"/>
      <c r="C467" s="46" t="n"/>
      <c r="D467" s="47" t="n"/>
      <c r="E467" s="46" t="n"/>
      <c r="F467" s="46" t="n"/>
      <c r="G467" s="46" t="n"/>
      <c r="H467" s="46" t="n"/>
      <c r="I467" s="46">
        <f>IF($A467="","",TEXT($A467,"YYYY-MM"))</f>
        <v/>
      </c>
      <c r="J467" s="46" t="n"/>
      <c r="K467" s="48" t="n"/>
      <c r="L467" s="48" t="n"/>
      <c r="M467" s="49">
        <f>IF($A467="","",IF(AND($K467&lt;&gt;"",$L467&lt;&gt;""),$K467,IF($F467="You",$D467,IF($F467="Wife",0,IF($F467="Shared",$D467/2,0)))))</f>
        <v/>
      </c>
      <c r="N467" s="49">
        <f>IF($A467="","",IF(AND($K467&lt;&gt;"",$L467&lt;&gt;""),$L467,IF($F467="You",0,IF($F467="Wife",$D467,IF($F467="Shared",$D467/2,0)))))</f>
        <v/>
      </c>
    </row>
    <row r="468" ht="15" customHeight="1" s="43">
      <c r="A468" s="50" t="n"/>
      <c r="B468" s="51" t="n"/>
      <c r="C468" s="51" t="n"/>
      <c r="D468" s="52" t="n"/>
      <c r="E468" s="51" t="n"/>
      <c r="F468" s="51" t="n"/>
      <c r="G468" s="51" t="n"/>
      <c r="H468" s="51" t="n"/>
      <c r="I468" s="51">
        <f>IF($A468="","",TEXT($A468,"YYYY-MM"))</f>
        <v/>
      </c>
      <c r="J468" s="51" t="n"/>
      <c r="K468" s="53" t="n"/>
      <c r="L468" s="53" t="n"/>
      <c r="M468" s="54">
        <f>IF($A468="","",IF(AND($K468&lt;&gt;"",$L468&lt;&gt;""),$K468,IF($F468="You",$D468,IF($F468="Wife",0,IF($F468="Shared",$D468/2,0)))))</f>
        <v/>
      </c>
      <c r="N468" s="54">
        <f>IF($A468="","",IF(AND($K468&lt;&gt;"",$L468&lt;&gt;""),$L468,IF($F468="You",0,IF($F468="Wife",$D468,IF($F468="Shared",$D468/2,0)))))</f>
        <v/>
      </c>
    </row>
    <row r="469" ht="15" customHeight="1" s="43">
      <c r="A469" s="45" t="n"/>
      <c r="B469" s="46" t="n"/>
      <c r="C469" s="46" t="n"/>
      <c r="D469" s="47" t="n"/>
      <c r="E469" s="46" t="n"/>
      <c r="F469" s="46" t="n"/>
      <c r="G469" s="46" t="n"/>
      <c r="H469" s="46" t="n"/>
      <c r="I469" s="46">
        <f>IF($A469="","",TEXT($A469,"YYYY-MM"))</f>
        <v/>
      </c>
      <c r="J469" s="46" t="n"/>
      <c r="K469" s="48" t="n"/>
      <c r="L469" s="48" t="n"/>
      <c r="M469" s="49">
        <f>IF($A469="","",IF(AND($K469&lt;&gt;"",$L469&lt;&gt;""),$K469,IF($F469="You",$D469,IF($F469="Wife",0,IF($F469="Shared",$D469/2,0)))))</f>
        <v/>
      </c>
      <c r="N469" s="49">
        <f>IF($A469="","",IF(AND($K469&lt;&gt;"",$L469&lt;&gt;""),$L469,IF($F469="You",0,IF($F469="Wife",$D469,IF($F469="Shared",$D469/2,0)))))</f>
        <v/>
      </c>
    </row>
    <row r="470" ht="15" customHeight="1" s="43">
      <c r="A470" s="50" t="n"/>
      <c r="B470" s="51" t="n"/>
      <c r="C470" s="51" t="n"/>
      <c r="D470" s="52" t="n"/>
      <c r="E470" s="51" t="n"/>
      <c r="F470" s="51" t="n"/>
      <c r="G470" s="51" t="n"/>
      <c r="H470" s="51" t="n"/>
      <c r="I470" s="51">
        <f>IF($A470="","",TEXT($A470,"YYYY-MM"))</f>
        <v/>
      </c>
      <c r="J470" s="51" t="n"/>
      <c r="K470" s="53" t="n"/>
      <c r="L470" s="53" t="n"/>
      <c r="M470" s="54">
        <f>IF($A470="","",IF(AND($K470&lt;&gt;"",$L470&lt;&gt;""),$K470,IF($F470="You",$D470,IF($F470="Wife",0,IF($F470="Shared",$D470/2,0)))))</f>
        <v/>
      </c>
      <c r="N470" s="54">
        <f>IF($A470="","",IF(AND($K470&lt;&gt;"",$L470&lt;&gt;""),$L470,IF($F470="You",0,IF($F470="Wife",$D470,IF($F470="Shared",$D470/2,0)))))</f>
        <v/>
      </c>
    </row>
    <row r="471" ht="15" customHeight="1" s="43">
      <c r="A471" s="45" t="n"/>
      <c r="B471" s="46" t="n"/>
      <c r="C471" s="46" t="n"/>
      <c r="D471" s="47" t="n"/>
      <c r="E471" s="46" t="n"/>
      <c r="F471" s="46" t="n"/>
      <c r="G471" s="46" t="n"/>
      <c r="H471" s="46" t="n"/>
      <c r="I471" s="46">
        <f>IF($A471="","",TEXT($A471,"YYYY-MM"))</f>
        <v/>
      </c>
      <c r="J471" s="46" t="n"/>
      <c r="K471" s="48" t="n"/>
      <c r="L471" s="48" t="n"/>
      <c r="M471" s="49">
        <f>IF($A471="","",IF(AND($K471&lt;&gt;"",$L471&lt;&gt;""),$K471,IF($F471="You",$D471,IF($F471="Wife",0,IF($F471="Shared",$D471/2,0)))))</f>
        <v/>
      </c>
      <c r="N471" s="49">
        <f>IF($A471="","",IF(AND($K471&lt;&gt;"",$L471&lt;&gt;""),$L471,IF($F471="You",0,IF($F471="Wife",$D471,IF($F471="Shared",$D471/2,0)))))</f>
        <v/>
      </c>
    </row>
    <row r="472" ht="15" customHeight="1" s="43">
      <c r="A472" s="50" t="n"/>
      <c r="B472" s="51" t="n"/>
      <c r="C472" s="51" t="n"/>
      <c r="D472" s="52" t="n"/>
      <c r="E472" s="51" t="n"/>
      <c r="F472" s="51" t="n"/>
      <c r="G472" s="51" t="n"/>
      <c r="H472" s="51" t="n"/>
      <c r="I472" s="51">
        <f>IF($A472="","",TEXT($A472,"YYYY-MM"))</f>
        <v/>
      </c>
      <c r="J472" s="51" t="n"/>
      <c r="K472" s="53" t="n"/>
      <c r="L472" s="53" t="n"/>
      <c r="M472" s="54">
        <f>IF($A472="","",IF(AND($K472&lt;&gt;"",$L472&lt;&gt;""),$K472,IF($F472="You",$D472,IF($F472="Wife",0,IF($F472="Shared",$D472/2,0)))))</f>
        <v/>
      </c>
      <c r="N472" s="54">
        <f>IF($A472="","",IF(AND($K472&lt;&gt;"",$L472&lt;&gt;""),$L472,IF($F472="You",0,IF($F472="Wife",$D472,IF($F472="Shared",$D472/2,0)))))</f>
        <v/>
      </c>
    </row>
    <row r="473" ht="15" customHeight="1" s="43">
      <c r="A473" s="45" t="n"/>
      <c r="B473" s="46" t="n"/>
      <c r="C473" s="46" t="n"/>
      <c r="D473" s="47" t="n"/>
      <c r="E473" s="46" t="n"/>
      <c r="F473" s="46" t="n"/>
      <c r="G473" s="46" t="n"/>
      <c r="H473" s="46" t="n"/>
      <c r="I473" s="46">
        <f>IF($A473="","",TEXT($A473,"YYYY-MM"))</f>
        <v/>
      </c>
      <c r="J473" s="46" t="n"/>
      <c r="K473" s="48" t="n"/>
      <c r="L473" s="48" t="n"/>
      <c r="M473" s="49">
        <f>IF($A473="","",IF(AND($K473&lt;&gt;"",$L473&lt;&gt;""),$K473,IF($F473="You",$D473,IF($F473="Wife",0,IF($F473="Shared",$D473/2,0)))))</f>
        <v/>
      </c>
      <c r="N473" s="49">
        <f>IF($A473="","",IF(AND($K473&lt;&gt;"",$L473&lt;&gt;""),$L473,IF($F473="You",0,IF($F473="Wife",$D473,IF($F473="Shared",$D473/2,0)))))</f>
        <v/>
      </c>
    </row>
    <row r="474" ht="15" customHeight="1" s="43">
      <c r="A474" s="50" t="n"/>
      <c r="B474" s="51" t="n"/>
      <c r="C474" s="51" t="n"/>
      <c r="D474" s="52" t="n"/>
      <c r="E474" s="51" t="n"/>
      <c r="F474" s="51" t="n"/>
      <c r="G474" s="51" t="n"/>
      <c r="H474" s="51" t="n"/>
      <c r="I474" s="51">
        <f>IF($A474="","",TEXT($A474,"YYYY-MM"))</f>
        <v/>
      </c>
      <c r="J474" s="51" t="n"/>
      <c r="K474" s="53" t="n"/>
      <c r="L474" s="53" t="n"/>
      <c r="M474" s="54">
        <f>IF($A474="","",IF(AND($K474&lt;&gt;"",$L474&lt;&gt;""),$K474,IF($F474="You",$D474,IF($F474="Wife",0,IF($F474="Shared",$D474/2,0)))))</f>
        <v/>
      </c>
      <c r="N474" s="54">
        <f>IF($A474="","",IF(AND($K474&lt;&gt;"",$L474&lt;&gt;""),$L474,IF($F474="You",0,IF($F474="Wife",$D474,IF($F474="Shared",$D474/2,0)))))</f>
        <v/>
      </c>
    </row>
    <row r="475" ht="15" customHeight="1" s="43">
      <c r="A475" s="45" t="n"/>
      <c r="B475" s="46" t="n"/>
      <c r="C475" s="46" t="n"/>
      <c r="D475" s="47" t="n"/>
      <c r="E475" s="46" t="n"/>
      <c r="F475" s="46" t="n"/>
      <c r="G475" s="46" t="n"/>
      <c r="H475" s="46" t="n"/>
      <c r="I475" s="46">
        <f>IF($A475="","",TEXT($A475,"YYYY-MM"))</f>
        <v/>
      </c>
      <c r="J475" s="46" t="n"/>
      <c r="K475" s="48" t="n"/>
      <c r="L475" s="48" t="n"/>
      <c r="M475" s="49">
        <f>IF($A475="","",IF(AND($K475&lt;&gt;"",$L475&lt;&gt;""),$K475,IF($F475="You",$D475,IF($F475="Wife",0,IF($F475="Shared",$D475/2,0)))))</f>
        <v/>
      </c>
      <c r="N475" s="49">
        <f>IF($A475="","",IF(AND($K475&lt;&gt;"",$L475&lt;&gt;""),$L475,IF($F475="You",0,IF($F475="Wife",$D475,IF($F475="Shared",$D475/2,0)))))</f>
        <v/>
      </c>
    </row>
    <row r="476" ht="15" customHeight="1" s="43">
      <c r="A476" s="50" t="n"/>
      <c r="B476" s="51" t="n"/>
      <c r="C476" s="51" t="n"/>
      <c r="D476" s="52" t="n"/>
      <c r="E476" s="51" t="n"/>
      <c r="F476" s="51" t="n"/>
      <c r="G476" s="51" t="n"/>
      <c r="H476" s="51" t="n"/>
      <c r="I476" s="51">
        <f>IF($A476="","",TEXT($A476,"YYYY-MM"))</f>
        <v/>
      </c>
      <c r="J476" s="51" t="n"/>
      <c r="K476" s="53" t="n"/>
      <c r="L476" s="53" t="n"/>
      <c r="M476" s="54">
        <f>IF($A476="","",IF(AND($K476&lt;&gt;"",$L476&lt;&gt;""),$K476,IF($F476="You",$D476,IF($F476="Wife",0,IF($F476="Shared",$D476/2,0)))))</f>
        <v/>
      </c>
      <c r="N476" s="54">
        <f>IF($A476="","",IF(AND($K476&lt;&gt;"",$L476&lt;&gt;""),$L476,IF($F476="You",0,IF($F476="Wife",$D476,IF($F476="Shared",$D476/2,0)))))</f>
        <v/>
      </c>
    </row>
    <row r="477" ht="15" customHeight="1" s="43">
      <c r="A477" s="45" t="n"/>
      <c r="B477" s="46" t="n"/>
      <c r="C477" s="46" t="n"/>
      <c r="D477" s="47" t="n"/>
      <c r="E477" s="46" t="n"/>
      <c r="F477" s="46" t="n"/>
      <c r="G477" s="46" t="n"/>
      <c r="H477" s="46" t="n"/>
      <c r="I477" s="46">
        <f>IF($A477="","",TEXT($A477,"YYYY-MM"))</f>
        <v/>
      </c>
      <c r="J477" s="46" t="n"/>
      <c r="K477" s="48" t="n"/>
      <c r="L477" s="48" t="n"/>
      <c r="M477" s="49">
        <f>IF($A477="","",IF(AND($K477&lt;&gt;"",$L477&lt;&gt;""),$K477,IF($F477="You",$D477,IF($F477="Wife",0,IF($F477="Shared",$D477/2,0)))))</f>
        <v/>
      </c>
      <c r="N477" s="49">
        <f>IF($A477="","",IF(AND($K477&lt;&gt;"",$L477&lt;&gt;""),$L477,IF($F477="You",0,IF($F477="Wife",$D477,IF($F477="Shared",$D477/2,0)))))</f>
        <v/>
      </c>
    </row>
    <row r="478" ht="15" customHeight="1" s="43">
      <c r="A478" s="50" t="n"/>
      <c r="B478" s="51" t="n"/>
      <c r="C478" s="51" t="n"/>
      <c r="D478" s="52" t="n"/>
      <c r="E478" s="51" t="n"/>
      <c r="F478" s="51" t="n"/>
      <c r="G478" s="51" t="n"/>
      <c r="H478" s="51" t="n"/>
      <c r="I478" s="51">
        <f>IF($A478="","",TEXT($A478,"YYYY-MM"))</f>
        <v/>
      </c>
      <c r="J478" s="51" t="n"/>
      <c r="K478" s="53" t="n"/>
      <c r="L478" s="53" t="n"/>
      <c r="M478" s="54">
        <f>IF($A478="","",IF(AND($K478&lt;&gt;"",$L478&lt;&gt;""),$K478,IF($F478="You",$D478,IF($F478="Wife",0,IF($F478="Shared",$D478/2,0)))))</f>
        <v/>
      </c>
      <c r="N478" s="54">
        <f>IF($A478="","",IF(AND($K478&lt;&gt;"",$L478&lt;&gt;""),$L478,IF($F478="You",0,IF($F478="Wife",$D478,IF($F478="Shared",$D478/2,0)))))</f>
        <v/>
      </c>
    </row>
    <row r="479" ht="15" customHeight="1" s="43">
      <c r="A479" s="45" t="n"/>
      <c r="B479" s="46" t="n"/>
      <c r="C479" s="46" t="n"/>
      <c r="D479" s="47" t="n"/>
      <c r="E479" s="46" t="n"/>
      <c r="F479" s="46" t="n"/>
      <c r="G479" s="46" t="n"/>
      <c r="H479" s="46" t="n"/>
      <c r="I479" s="46">
        <f>IF($A479="","",TEXT($A479,"YYYY-MM"))</f>
        <v/>
      </c>
      <c r="J479" s="46" t="n"/>
      <c r="K479" s="48" t="n"/>
      <c r="L479" s="48" t="n"/>
      <c r="M479" s="49">
        <f>IF($A479="","",IF(AND($K479&lt;&gt;"",$L479&lt;&gt;""),$K479,IF($F479="You",$D479,IF($F479="Wife",0,IF($F479="Shared",$D479/2,0)))))</f>
        <v/>
      </c>
      <c r="N479" s="49">
        <f>IF($A479="","",IF(AND($K479&lt;&gt;"",$L479&lt;&gt;""),$L479,IF($F479="You",0,IF($F479="Wife",$D479,IF($F479="Shared",$D479/2,0)))))</f>
        <v/>
      </c>
    </row>
    <row r="480" ht="15" customHeight="1" s="43">
      <c r="A480" s="50" t="n"/>
      <c r="B480" s="51" t="n"/>
      <c r="C480" s="51" t="n"/>
      <c r="D480" s="52" t="n"/>
      <c r="E480" s="51" t="n"/>
      <c r="F480" s="51" t="n"/>
      <c r="G480" s="51" t="n"/>
      <c r="H480" s="51" t="n"/>
      <c r="I480" s="51">
        <f>IF($A480="","",TEXT($A480,"YYYY-MM"))</f>
        <v/>
      </c>
      <c r="J480" s="51" t="n"/>
      <c r="K480" s="53" t="n"/>
      <c r="L480" s="53" t="n"/>
      <c r="M480" s="54">
        <f>IF($A480="","",IF(AND($K480&lt;&gt;"",$L480&lt;&gt;""),$K480,IF($F480="You",$D480,IF($F480="Wife",0,IF($F480="Shared",$D480/2,0)))))</f>
        <v/>
      </c>
      <c r="N480" s="54">
        <f>IF($A480="","",IF(AND($K480&lt;&gt;"",$L480&lt;&gt;""),$L480,IF($F480="You",0,IF($F480="Wife",$D480,IF($F480="Shared",$D480/2,0)))))</f>
        <v/>
      </c>
    </row>
    <row r="481" ht="15" customHeight="1" s="43">
      <c r="A481" s="45" t="n"/>
      <c r="B481" s="46" t="n"/>
      <c r="C481" s="46" t="n"/>
      <c r="D481" s="47" t="n"/>
      <c r="E481" s="46" t="n"/>
      <c r="F481" s="46" t="n"/>
      <c r="G481" s="46" t="n"/>
      <c r="H481" s="46" t="n"/>
      <c r="I481" s="46">
        <f>IF($A481="","",TEXT($A481,"YYYY-MM"))</f>
        <v/>
      </c>
      <c r="J481" s="46" t="n"/>
      <c r="K481" s="48" t="n"/>
      <c r="L481" s="48" t="n"/>
      <c r="M481" s="49">
        <f>IF($A481="","",IF(AND($K481&lt;&gt;"",$L481&lt;&gt;""),$K481,IF($F481="You",$D481,IF($F481="Wife",0,IF($F481="Shared",$D481/2,0)))))</f>
        <v/>
      </c>
      <c r="N481" s="49">
        <f>IF($A481="","",IF(AND($K481&lt;&gt;"",$L481&lt;&gt;""),$L481,IF($F481="You",0,IF($F481="Wife",$D481,IF($F481="Shared",$D481/2,0)))))</f>
        <v/>
      </c>
    </row>
    <row r="482" ht="15" customHeight="1" s="43">
      <c r="A482" s="50" t="n"/>
      <c r="B482" s="51" t="n"/>
      <c r="C482" s="51" t="n"/>
      <c r="D482" s="52" t="n"/>
      <c r="E482" s="51" t="n"/>
      <c r="F482" s="51" t="n"/>
      <c r="G482" s="51" t="n"/>
      <c r="H482" s="51" t="n"/>
      <c r="I482" s="51">
        <f>IF($A482="","",TEXT($A482,"YYYY-MM"))</f>
        <v/>
      </c>
      <c r="J482" s="51" t="n"/>
      <c r="K482" s="53" t="n"/>
      <c r="L482" s="53" t="n"/>
      <c r="M482" s="54">
        <f>IF($A482="","",IF(AND($K482&lt;&gt;"",$L482&lt;&gt;""),$K482,IF($F482="You",$D482,IF($F482="Wife",0,IF($F482="Shared",$D482/2,0)))))</f>
        <v/>
      </c>
      <c r="N482" s="54">
        <f>IF($A482="","",IF(AND($K482&lt;&gt;"",$L482&lt;&gt;""),$L482,IF($F482="You",0,IF($F482="Wife",$D482,IF($F482="Shared",$D482/2,0)))))</f>
        <v/>
      </c>
    </row>
    <row r="483" ht="15" customHeight="1" s="43">
      <c r="A483" s="45" t="n"/>
      <c r="B483" s="46" t="n"/>
      <c r="C483" s="46" t="n"/>
      <c r="D483" s="47" t="n"/>
      <c r="E483" s="46" t="n"/>
      <c r="F483" s="46" t="n"/>
      <c r="G483" s="46" t="n"/>
      <c r="H483" s="46" t="n"/>
      <c r="I483" s="46">
        <f>IF($A483="","",TEXT($A483,"YYYY-MM"))</f>
        <v/>
      </c>
      <c r="J483" s="46" t="n"/>
      <c r="K483" s="48" t="n"/>
      <c r="L483" s="48" t="n"/>
      <c r="M483" s="49">
        <f>IF($A483="","",IF(AND($K483&lt;&gt;"",$L483&lt;&gt;""),$K483,IF($F483="You",$D483,IF($F483="Wife",0,IF($F483="Shared",$D483/2,0)))))</f>
        <v/>
      </c>
      <c r="N483" s="49">
        <f>IF($A483="","",IF(AND($K483&lt;&gt;"",$L483&lt;&gt;""),$L483,IF($F483="You",0,IF($F483="Wife",$D483,IF($F483="Shared",$D483/2,0)))))</f>
        <v/>
      </c>
    </row>
    <row r="484" ht="15" customHeight="1" s="43">
      <c r="A484" s="50" t="n"/>
      <c r="B484" s="51" t="n"/>
      <c r="C484" s="51" t="n"/>
      <c r="D484" s="52" t="n"/>
      <c r="E484" s="51" t="n"/>
      <c r="F484" s="51" t="n"/>
      <c r="G484" s="51" t="n"/>
      <c r="H484" s="51" t="n"/>
      <c r="I484" s="51">
        <f>IF($A484="","",TEXT($A484,"YYYY-MM"))</f>
        <v/>
      </c>
      <c r="J484" s="51" t="n"/>
      <c r="K484" s="53" t="n"/>
      <c r="L484" s="53" t="n"/>
      <c r="M484" s="54">
        <f>IF($A484="","",IF(AND($K484&lt;&gt;"",$L484&lt;&gt;""),$K484,IF($F484="You",$D484,IF($F484="Wife",0,IF($F484="Shared",$D484/2,0)))))</f>
        <v/>
      </c>
      <c r="N484" s="54">
        <f>IF($A484="","",IF(AND($K484&lt;&gt;"",$L484&lt;&gt;""),$L484,IF($F484="You",0,IF($F484="Wife",$D484,IF($F484="Shared",$D484/2,0)))))</f>
        <v/>
      </c>
    </row>
    <row r="485" ht="15" customHeight="1" s="43">
      <c r="A485" s="45" t="n"/>
      <c r="B485" s="46" t="n"/>
      <c r="C485" s="46" t="n"/>
      <c r="D485" s="47" t="n"/>
      <c r="E485" s="46" t="n"/>
      <c r="F485" s="46" t="n"/>
      <c r="G485" s="46" t="n"/>
      <c r="H485" s="46" t="n"/>
      <c r="I485" s="46">
        <f>IF($A485="","",TEXT($A485,"YYYY-MM"))</f>
        <v/>
      </c>
      <c r="J485" s="46" t="n"/>
      <c r="K485" s="48" t="n"/>
      <c r="L485" s="48" t="n"/>
      <c r="M485" s="49">
        <f>IF($A485="","",IF(AND($K485&lt;&gt;"",$L485&lt;&gt;""),$K485,IF($F485="You",$D485,IF($F485="Wife",0,IF($F485="Shared",$D485/2,0)))))</f>
        <v/>
      </c>
      <c r="N485" s="49">
        <f>IF($A485="","",IF(AND($K485&lt;&gt;"",$L485&lt;&gt;""),$L485,IF($F485="You",0,IF($F485="Wife",$D485,IF($F485="Shared",$D485/2,0)))))</f>
        <v/>
      </c>
    </row>
    <row r="486" ht="15" customHeight="1" s="43">
      <c r="A486" s="50" t="n"/>
      <c r="B486" s="51" t="n"/>
      <c r="C486" s="51" t="n"/>
      <c r="D486" s="52" t="n"/>
      <c r="E486" s="51" t="n"/>
      <c r="F486" s="51" t="n"/>
      <c r="G486" s="51" t="n"/>
      <c r="H486" s="51" t="n"/>
      <c r="I486" s="51">
        <f>IF($A486="","",TEXT($A486,"YYYY-MM"))</f>
        <v/>
      </c>
      <c r="J486" s="51" t="n"/>
      <c r="K486" s="53" t="n"/>
      <c r="L486" s="53" t="n"/>
      <c r="M486" s="54">
        <f>IF($A486="","",IF(AND($K486&lt;&gt;"",$L486&lt;&gt;""),$K486,IF($F486="You",$D486,IF($F486="Wife",0,IF($F486="Shared",$D486/2,0)))))</f>
        <v/>
      </c>
      <c r="N486" s="54">
        <f>IF($A486="","",IF(AND($K486&lt;&gt;"",$L486&lt;&gt;""),$L486,IF($F486="You",0,IF($F486="Wife",$D486,IF($F486="Shared",$D486/2,0)))))</f>
        <v/>
      </c>
    </row>
    <row r="487" ht="15" customHeight="1" s="43">
      <c r="A487" s="45" t="n"/>
      <c r="B487" s="46" t="n"/>
      <c r="C487" s="46" t="n"/>
      <c r="D487" s="47" t="n"/>
      <c r="E487" s="46" t="n"/>
      <c r="F487" s="46" t="n"/>
      <c r="G487" s="46" t="n"/>
      <c r="H487" s="46" t="n"/>
      <c r="I487" s="46">
        <f>IF($A487="","",TEXT($A487,"YYYY-MM"))</f>
        <v/>
      </c>
      <c r="J487" s="46" t="n"/>
      <c r="K487" s="48" t="n"/>
      <c r="L487" s="48" t="n"/>
      <c r="M487" s="49">
        <f>IF($A487="","",IF(AND($K487&lt;&gt;"",$L487&lt;&gt;""),$K487,IF($F487="You",$D487,IF($F487="Wife",0,IF($F487="Shared",$D487/2,0)))))</f>
        <v/>
      </c>
      <c r="N487" s="49">
        <f>IF($A487="","",IF(AND($K487&lt;&gt;"",$L487&lt;&gt;""),$L487,IF($F487="You",0,IF($F487="Wife",$D487,IF($F487="Shared",$D487/2,0)))))</f>
        <v/>
      </c>
    </row>
    <row r="488" ht="15" customHeight="1" s="43">
      <c r="A488" s="50" t="n"/>
      <c r="B488" s="51" t="n"/>
      <c r="C488" s="51" t="n"/>
      <c r="D488" s="52" t="n"/>
      <c r="E488" s="51" t="n"/>
      <c r="F488" s="51" t="n"/>
      <c r="G488" s="51" t="n"/>
      <c r="H488" s="51" t="n"/>
      <c r="I488" s="51">
        <f>IF($A488="","",TEXT($A488,"YYYY-MM"))</f>
        <v/>
      </c>
      <c r="J488" s="51" t="n"/>
      <c r="K488" s="53" t="n"/>
      <c r="L488" s="53" t="n"/>
      <c r="M488" s="54">
        <f>IF($A488="","",IF(AND($K488&lt;&gt;"",$L488&lt;&gt;""),$K488,IF($F488="You",$D488,IF($F488="Wife",0,IF($F488="Shared",$D488/2,0)))))</f>
        <v/>
      </c>
      <c r="N488" s="54">
        <f>IF($A488="","",IF(AND($K488&lt;&gt;"",$L488&lt;&gt;""),$L488,IF($F488="You",0,IF($F488="Wife",$D488,IF($F488="Shared",$D488/2,0)))))</f>
        <v/>
      </c>
    </row>
    <row r="489" ht="15" customHeight="1" s="43">
      <c r="A489" s="45" t="n"/>
      <c r="B489" s="46" t="n"/>
      <c r="C489" s="46" t="n"/>
      <c r="D489" s="47" t="n"/>
      <c r="E489" s="46" t="n"/>
      <c r="F489" s="46" t="n"/>
      <c r="G489" s="46" t="n"/>
      <c r="H489" s="46" t="n"/>
      <c r="I489" s="46">
        <f>IF($A489="","",TEXT($A489,"YYYY-MM"))</f>
        <v/>
      </c>
      <c r="J489" s="46" t="n"/>
      <c r="K489" s="48" t="n"/>
      <c r="L489" s="48" t="n"/>
      <c r="M489" s="49">
        <f>IF($A489="","",IF(AND($K489&lt;&gt;"",$L489&lt;&gt;""),$K489,IF($F489="You",$D489,IF($F489="Wife",0,IF($F489="Shared",$D489/2,0)))))</f>
        <v/>
      </c>
      <c r="N489" s="49">
        <f>IF($A489="","",IF(AND($K489&lt;&gt;"",$L489&lt;&gt;""),$L489,IF($F489="You",0,IF($F489="Wife",$D489,IF($F489="Shared",$D489/2,0)))))</f>
        <v/>
      </c>
    </row>
    <row r="490" ht="15" customHeight="1" s="43">
      <c r="A490" s="50" t="n"/>
      <c r="B490" s="51" t="n"/>
      <c r="C490" s="51" t="n"/>
      <c r="D490" s="52" t="n"/>
      <c r="E490" s="51" t="n"/>
      <c r="F490" s="51" t="n"/>
      <c r="G490" s="51" t="n"/>
      <c r="H490" s="51" t="n"/>
      <c r="I490" s="51">
        <f>IF($A490="","",TEXT($A490,"YYYY-MM"))</f>
        <v/>
      </c>
      <c r="J490" s="51" t="n"/>
      <c r="K490" s="53" t="n"/>
      <c r="L490" s="53" t="n"/>
      <c r="M490" s="54">
        <f>IF($A490="","",IF(AND($K490&lt;&gt;"",$L490&lt;&gt;""),$K490,IF($F490="You",$D490,IF($F490="Wife",0,IF($F490="Shared",$D490/2,0)))))</f>
        <v/>
      </c>
      <c r="N490" s="54">
        <f>IF($A490="","",IF(AND($K490&lt;&gt;"",$L490&lt;&gt;""),$L490,IF($F490="You",0,IF($F490="Wife",$D490,IF($F490="Shared",$D490/2,0)))))</f>
        <v/>
      </c>
    </row>
    <row r="491" ht="15" customHeight="1" s="43">
      <c r="A491" s="45" t="n"/>
      <c r="B491" s="46" t="n"/>
      <c r="C491" s="46" t="n"/>
      <c r="D491" s="47" t="n"/>
      <c r="E491" s="46" t="n"/>
      <c r="F491" s="46" t="n"/>
      <c r="G491" s="46" t="n"/>
      <c r="H491" s="46" t="n"/>
      <c r="I491" s="46">
        <f>IF($A491="","",TEXT($A491,"YYYY-MM"))</f>
        <v/>
      </c>
      <c r="J491" s="46" t="n"/>
      <c r="K491" s="48" t="n"/>
      <c r="L491" s="48" t="n"/>
      <c r="M491" s="49">
        <f>IF($A491="","",IF(AND($K491&lt;&gt;"",$L491&lt;&gt;""),$K491,IF($F491="You",$D491,IF($F491="Wife",0,IF($F491="Shared",$D491/2,0)))))</f>
        <v/>
      </c>
      <c r="N491" s="49">
        <f>IF($A491="","",IF(AND($K491&lt;&gt;"",$L491&lt;&gt;""),$L491,IF($F491="You",0,IF($F491="Wife",$D491,IF($F491="Shared",$D491/2,0)))))</f>
        <v/>
      </c>
    </row>
    <row r="492" ht="15" customHeight="1" s="43">
      <c r="A492" s="50" t="n"/>
      <c r="B492" s="51" t="n"/>
      <c r="C492" s="51" t="n"/>
      <c r="D492" s="52" t="n"/>
      <c r="E492" s="51" t="n"/>
      <c r="F492" s="51" t="n"/>
      <c r="G492" s="51" t="n"/>
      <c r="H492" s="51" t="n"/>
      <c r="I492" s="51">
        <f>IF($A492="","",TEXT($A492,"YYYY-MM"))</f>
        <v/>
      </c>
      <c r="J492" s="51" t="n"/>
      <c r="K492" s="53" t="n"/>
      <c r="L492" s="53" t="n"/>
      <c r="M492" s="54">
        <f>IF($A492="","",IF(AND($K492&lt;&gt;"",$L492&lt;&gt;""),$K492,IF($F492="You",$D492,IF($F492="Wife",0,IF($F492="Shared",$D492/2,0)))))</f>
        <v/>
      </c>
      <c r="N492" s="54">
        <f>IF($A492="","",IF(AND($K492&lt;&gt;"",$L492&lt;&gt;""),$L492,IF($F492="You",0,IF($F492="Wife",$D492,IF($F492="Shared",$D492/2,0)))))</f>
        <v/>
      </c>
    </row>
    <row r="493" ht="15" customHeight="1" s="43">
      <c r="A493" s="45" t="n"/>
      <c r="B493" s="46" t="n"/>
      <c r="C493" s="46" t="n"/>
      <c r="D493" s="47" t="n"/>
      <c r="E493" s="46" t="n"/>
      <c r="F493" s="46" t="n"/>
      <c r="G493" s="46" t="n"/>
      <c r="H493" s="46" t="n"/>
      <c r="I493" s="46">
        <f>IF($A493="","",TEXT($A493,"YYYY-MM"))</f>
        <v/>
      </c>
      <c r="J493" s="46" t="n"/>
      <c r="K493" s="48" t="n"/>
      <c r="L493" s="48" t="n"/>
      <c r="M493" s="49">
        <f>IF($A493="","",IF(AND($K493&lt;&gt;"",$L493&lt;&gt;""),$K493,IF($F493="You",$D493,IF($F493="Wife",0,IF($F493="Shared",$D493/2,0)))))</f>
        <v/>
      </c>
      <c r="N493" s="49">
        <f>IF($A493="","",IF(AND($K493&lt;&gt;"",$L493&lt;&gt;""),$L493,IF($F493="You",0,IF($F493="Wife",$D493,IF($F493="Shared",$D493/2,0)))))</f>
        <v/>
      </c>
    </row>
    <row r="494" ht="15" customHeight="1" s="43">
      <c r="A494" s="50" t="n"/>
      <c r="B494" s="51" t="n"/>
      <c r="C494" s="51" t="n"/>
      <c r="D494" s="52" t="n"/>
      <c r="E494" s="51" t="n"/>
      <c r="F494" s="51" t="n"/>
      <c r="G494" s="51" t="n"/>
      <c r="H494" s="51" t="n"/>
      <c r="I494" s="51">
        <f>IF($A494="","",TEXT($A494,"YYYY-MM"))</f>
        <v/>
      </c>
      <c r="J494" s="51" t="n"/>
      <c r="K494" s="53" t="n"/>
      <c r="L494" s="53" t="n"/>
      <c r="M494" s="54">
        <f>IF($A494="","",IF(AND($K494&lt;&gt;"",$L494&lt;&gt;""),$K494,IF($F494="You",$D494,IF($F494="Wife",0,IF($F494="Shared",$D494/2,0)))))</f>
        <v/>
      </c>
      <c r="N494" s="54">
        <f>IF($A494="","",IF(AND($K494&lt;&gt;"",$L494&lt;&gt;""),$L494,IF($F494="You",0,IF($F494="Wife",$D494,IF($F494="Shared",$D494/2,0)))))</f>
        <v/>
      </c>
    </row>
    <row r="495" ht="15" customHeight="1" s="43">
      <c r="A495" s="45" t="n"/>
      <c r="B495" s="46" t="n"/>
      <c r="C495" s="46" t="n"/>
      <c r="D495" s="47" t="n"/>
      <c r="E495" s="46" t="n"/>
      <c r="F495" s="46" t="n"/>
      <c r="G495" s="46" t="n"/>
      <c r="H495" s="46" t="n"/>
      <c r="I495" s="46">
        <f>IF($A495="","",TEXT($A495,"YYYY-MM"))</f>
        <v/>
      </c>
      <c r="J495" s="46" t="n"/>
      <c r="K495" s="48" t="n"/>
      <c r="L495" s="48" t="n"/>
      <c r="M495" s="49">
        <f>IF($A495="","",IF(AND($K495&lt;&gt;"",$L495&lt;&gt;""),$K495,IF($F495="You",$D495,IF($F495="Wife",0,IF($F495="Shared",$D495/2,0)))))</f>
        <v/>
      </c>
      <c r="N495" s="49">
        <f>IF($A495="","",IF(AND($K495&lt;&gt;"",$L495&lt;&gt;""),$L495,IF($F495="You",0,IF($F495="Wife",$D495,IF($F495="Shared",$D495/2,0)))))</f>
        <v/>
      </c>
    </row>
    <row r="496" ht="15" customHeight="1" s="43">
      <c r="A496" s="50" t="n"/>
      <c r="B496" s="51" t="n"/>
      <c r="C496" s="51" t="n"/>
      <c r="D496" s="52" t="n"/>
      <c r="E496" s="51" t="n"/>
      <c r="F496" s="51" t="n"/>
      <c r="G496" s="51" t="n"/>
      <c r="H496" s="51" t="n"/>
      <c r="I496" s="51">
        <f>IF($A496="","",TEXT($A496,"YYYY-MM"))</f>
        <v/>
      </c>
      <c r="J496" s="51" t="n"/>
      <c r="K496" s="53" t="n"/>
      <c r="L496" s="53" t="n"/>
      <c r="M496" s="54">
        <f>IF($A496="","",IF(AND($K496&lt;&gt;"",$L496&lt;&gt;""),$K496,IF($F496="You",$D496,IF($F496="Wife",0,IF($F496="Shared",$D496/2,0)))))</f>
        <v/>
      </c>
      <c r="N496" s="54">
        <f>IF($A496="","",IF(AND($K496&lt;&gt;"",$L496&lt;&gt;""),$L496,IF($F496="You",0,IF($F496="Wife",$D496,IF($F496="Shared",$D496/2,0)))))</f>
        <v/>
      </c>
    </row>
    <row r="497" ht="15" customHeight="1" s="43">
      <c r="A497" s="45" t="n"/>
      <c r="B497" s="46" t="n"/>
      <c r="C497" s="46" t="n"/>
      <c r="D497" s="47" t="n"/>
      <c r="E497" s="46" t="n"/>
      <c r="F497" s="46" t="n"/>
      <c r="G497" s="46" t="n"/>
      <c r="H497" s="46" t="n"/>
      <c r="I497" s="46">
        <f>IF($A497="","",TEXT($A497,"YYYY-MM"))</f>
        <v/>
      </c>
      <c r="J497" s="46" t="n"/>
      <c r="K497" s="48" t="n"/>
      <c r="L497" s="48" t="n"/>
      <c r="M497" s="49">
        <f>IF($A497="","",IF(AND($K497&lt;&gt;"",$L497&lt;&gt;""),$K497,IF($F497="You",$D497,IF($F497="Wife",0,IF($F497="Shared",$D497/2,0)))))</f>
        <v/>
      </c>
      <c r="N497" s="49">
        <f>IF($A497="","",IF(AND($K497&lt;&gt;"",$L497&lt;&gt;""),$L497,IF($F497="You",0,IF($F497="Wife",$D497,IF($F497="Shared",$D497/2,0)))))</f>
        <v/>
      </c>
    </row>
    <row r="498" ht="15" customHeight="1" s="43">
      <c r="A498" s="50" t="n"/>
      <c r="B498" s="51" t="n"/>
      <c r="C498" s="51" t="n"/>
      <c r="D498" s="52" t="n"/>
      <c r="E498" s="51" t="n"/>
      <c r="F498" s="51" t="n"/>
      <c r="G498" s="51" t="n"/>
      <c r="H498" s="51" t="n"/>
      <c r="I498" s="51">
        <f>IF($A498="","",TEXT($A498,"YYYY-MM"))</f>
        <v/>
      </c>
      <c r="J498" s="51" t="n"/>
      <c r="K498" s="53" t="n"/>
      <c r="L498" s="53" t="n"/>
      <c r="M498" s="54">
        <f>IF($A498="","",IF(AND($K498&lt;&gt;"",$L498&lt;&gt;""),$K498,IF($F498="You",$D498,IF($F498="Wife",0,IF($F498="Shared",$D498/2,0)))))</f>
        <v/>
      </c>
      <c r="N498" s="54">
        <f>IF($A498="","",IF(AND($K498&lt;&gt;"",$L498&lt;&gt;""),$L498,IF($F498="You",0,IF($F498="Wife",$D498,IF($F498="Shared",$D498/2,0)))))</f>
        <v/>
      </c>
    </row>
    <row r="499" ht="15" customHeight="1" s="43">
      <c r="A499" s="45" t="n"/>
      <c r="B499" s="46" t="n"/>
      <c r="C499" s="46" t="n"/>
      <c r="D499" s="47" t="n"/>
      <c r="E499" s="46" t="n"/>
      <c r="F499" s="46" t="n"/>
      <c r="G499" s="46" t="n"/>
      <c r="H499" s="46" t="n"/>
      <c r="I499" s="46">
        <f>IF($A499="","",TEXT($A499,"YYYY-MM"))</f>
        <v/>
      </c>
      <c r="J499" s="46" t="n"/>
      <c r="K499" s="48" t="n"/>
      <c r="L499" s="48" t="n"/>
      <c r="M499" s="49">
        <f>IF($A499="","",IF(AND($K499&lt;&gt;"",$L499&lt;&gt;""),$K499,IF($F499="You",$D499,IF($F499="Wife",0,IF($F499="Shared",$D499/2,0)))))</f>
        <v/>
      </c>
      <c r="N499" s="49">
        <f>IF($A499="","",IF(AND($K499&lt;&gt;"",$L499&lt;&gt;""),$L499,IF($F499="You",0,IF($F499="Wife",$D499,IF($F499="Shared",$D499/2,0)))))</f>
        <v/>
      </c>
    </row>
    <row r="500" ht="15" customHeight="1" s="43">
      <c r="I500">
        <f>IF($A500="","",TEXT($A500,"YYYY-MM"))</f>
        <v/>
      </c>
      <c r="M500">
        <f>IF($A500="","",IF(AND($K500&lt;&gt;"",$L500&lt;&gt;""),$K500,IF($F500="You",$D500,IF($F500="Wife",0,IF($F500="Shared",$D500/2,0)))))</f>
        <v/>
      </c>
      <c r="N500">
        <f>IF($A500="","",IF(AND($K500&lt;&gt;"",$L500&lt;&gt;""),$L500,IF($F500="You",0,IF($F500="Wife",$D500,IF($F500="Shared",$D500/2,0)))))</f>
        <v/>
      </c>
    </row>
  </sheetData>
  <dataValidations count="5">
    <dataValidation sqref="C2:C500" showDropDown="0" showInputMessage="0" showErrorMessage="0" allowBlank="1" type="list" errorStyle="stop" operator="between">
      <formula1>Settings!$B$3:$B$42</formula1>
      <formula2>0</formula2>
    </dataValidation>
    <dataValidation sqref="E2:E500" showDropDown="0" showInputMessage="0" showErrorMessage="0" allowBlank="1" type="list" errorStyle="stop" operator="between">
      <formula1>"You,Wife,Shared"</formula1>
      <formula2>0</formula2>
    </dataValidation>
    <dataValidation sqref="F2:F500" showDropDown="0" showInputMessage="0" showErrorMessage="0" allowBlank="1" type="list" errorStyle="stop" operator="between">
      <formula1>"You,Wife,Shared"</formula1>
      <formula2>0</formula2>
    </dataValidation>
    <dataValidation sqref="G2:G500" showDropDown="0" showInputMessage="0" showErrorMessage="0" allowBlank="1" type="list" errorStyle="stop" operator="between">
      <formula1>"UPI,Card,Cash,Net Banking"</formula1>
      <formula2>0</formula2>
    </dataValidation>
    <dataValidation sqref="H2:H500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I6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2" min="1" max="1"/>
    <col width="30" customWidth="1" style="42" min="2" max="2"/>
    <col width="14" customWidth="1" style="42" min="3" max="3"/>
    <col width="11" customWidth="1" style="42" min="4" max="4"/>
    <col width="15" customWidth="1" style="42" min="5" max="5"/>
    <col width="3" customWidth="1" style="42" min="6" max="6"/>
    <col width="22" customWidth="1" style="42" min="7" max="7"/>
    <col width="14" customWidth="1" style="42" min="8" max="9"/>
  </cols>
  <sheetData>
    <row r="2" ht="21.75" customHeight="1" s="43">
      <c r="B2" s="55" t="inlineStr">
        <is>
          <t>Household Expense Dashboard</t>
        </is>
      </c>
    </row>
    <row r="3" ht="15" customHeight="1" s="43">
      <c r="B3" s="56" t="inlineStr">
        <is>
          <t>Live -- updates as rows arrive. Categories follow the Settings tab.</t>
        </is>
      </c>
    </row>
    <row r="5" ht="15" customHeight="1" s="43">
      <c r="B5" s="57" t="inlineStr">
        <is>
          <t>Total Spend</t>
        </is>
      </c>
      <c r="C5" s="58" t="n"/>
      <c r="D5" s="57" t="inlineStr">
        <is>
          <t>This Month</t>
        </is>
      </c>
      <c r="E5" s="58" t="n"/>
      <c r="F5" s="57" t="inlineStr">
        <is>
          <t>Avg / Month</t>
        </is>
      </c>
      <c r="G5" s="58" t="n"/>
      <c r="H5" s="57" t="inlineStr">
        <is>
          <t>Projected Year</t>
        </is>
      </c>
      <c r="I5" s="58" t="n"/>
    </row>
    <row r="6" ht="27.75" customHeight="1" s="43">
      <c r="B6" s="59">
        <f>SUM(Expenses!$D$2:$D$500)</f>
        <v/>
      </c>
      <c r="D6" s="59">
        <f>SUMIF(Expenses!$I$2:$I$500,TEXT(TODAY(),"YYYY-MM"),Expenses!$D$2:$D$500)</f>
        <v/>
      </c>
      <c r="F6" s="59">
        <f>IFERROR(SUM(Expenses!$D$2:$D$500)/MAX(1,SUMPRODUCT((Expenses!$I$2:$I$500&lt;&gt;"")/COUNTIF(Expenses!$I$2:$I$500,Expenses!$I$2:$I$500&amp;""))),0)</f>
        <v/>
      </c>
      <c r="H6" s="59">
        <f>F6*12</f>
        <v/>
      </c>
    </row>
    <row r="8" ht="21.75" customHeight="1" s="43">
      <c r="B8" s="60" t="inlineStr">
        <is>
          <t>By Category</t>
        </is>
      </c>
      <c r="C8" s="60" t="inlineStr">
        <is>
          <t>Total</t>
        </is>
      </c>
      <c r="D8" s="60" t="inlineStr">
        <is>
          <t>% Spend</t>
        </is>
      </c>
      <c r="E8" s="60" t="inlineStr">
        <is>
          <t>Yr Projection</t>
        </is>
      </c>
      <c r="G8" s="60" t="inlineStr">
        <is>
          <t>Individual</t>
        </is>
      </c>
      <c r="H8" s="60" t="inlineStr">
        <is>
          <t>Paid</t>
        </is>
      </c>
      <c r="I8" s="60" t="inlineStr">
        <is>
          <t>Fair Share*</t>
        </is>
      </c>
    </row>
    <row r="9" ht="15" customHeight="1" s="43">
      <c r="B9" s="61">
        <f>IF(Settings!B3="","",Settings!B3)</f>
        <v/>
      </c>
      <c r="C9" s="62">
        <f>IF($B9="","",SUMIF(Expenses!$C$2:$C$500,$B9,Expenses!$D$2:$D$500))</f>
        <v/>
      </c>
      <c r="D9" s="63">
        <f>IF($B9="","",IFERROR($C9/SUM(Expenses!$D$2:$D$500),0))</f>
        <v/>
      </c>
      <c r="E9" s="62">
        <f>IF($B9="","",$C9*(12/MAX(1,SUMPRODUCT((Expenses!$I$2:$I$500&lt;&gt;"")/COUNTIF(Expenses!$I$2:$I$500,Expenses!$I$2:$I$500&amp;"")))))</f>
        <v/>
      </c>
      <c r="G9" s="61" t="inlineStr">
        <is>
          <t>You</t>
        </is>
      </c>
      <c r="H9" s="62">
        <f>SUMIF(Expenses!$E$2:$E$500,"You",Expenses!$D$2:$D$500)</f>
        <v/>
      </c>
      <c r="I9" s="62">
        <f>SUM(Expenses!$M$2:$M$500)</f>
        <v/>
      </c>
    </row>
    <row r="10" ht="15" customHeight="1" s="43">
      <c r="B10" s="51">
        <f>IF(Settings!B4="","",Settings!B4)</f>
        <v/>
      </c>
      <c r="C10" s="64">
        <f>IF($B10="","",SUMIF(Expenses!$C$2:$C$500,$B10,Expenses!$D$2:$D$500))</f>
        <v/>
      </c>
      <c r="D10" s="65">
        <f>IF($B10="","",IFERROR($C10/SUM(Expenses!$D$2:$D$500),0))</f>
        <v/>
      </c>
      <c r="E10" s="64">
        <f>IF($B10="","",$C10*(12/MAX(1,SUMPRODUCT((Expenses!$I$2:$I$500&lt;&gt;"")/COUNTIF(Expenses!$I$2:$I$500,Expenses!$I$2:$I$500&amp;"")))))</f>
        <v/>
      </c>
      <c r="G10" s="51" t="inlineStr">
        <is>
          <t>Wife</t>
        </is>
      </c>
      <c r="H10" s="64">
        <f>SUMIF(Expenses!$E$2:$E$500,"Wife",Expenses!$D$2:$D$500)</f>
        <v/>
      </c>
      <c r="I10" s="64">
        <f>SUM(Expenses!$N$2:$N$500)</f>
        <v/>
      </c>
    </row>
    <row r="11" ht="15" customHeight="1" s="43">
      <c r="B11" s="61">
        <f>IF(Settings!B5="","",Settings!B5)</f>
        <v/>
      </c>
      <c r="C11" s="62">
        <f>IF($B11="","",SUMIF(Expenses!$C$2:$C$500,$B11,Expenses!$D$2:$D$500))</f>
        <v/>
      </c>
      <c r="D11" s="63">
        <f>IF($B11="","",IFERROR($C11/SUM(Expenses!$D$2:$D$500),0))</f>
        <v/>
      </c>
      <c r="E11" s="62">
        <f>IF($B11="","",$C11*(12/MAX(1,SUMPRODUCT((Expenses!$I$2:$I$500&lt;&gt;"")/COUNTIF(Expenses!$I$2:$I$500,Expenses!$I$2:$I$500&amp;"")))))</f>
        <v/>
      </c>
      <c r="G11" s="61" t="inlineStr">
        <is>
          <t>Shared (joint)</t>
        </is>
      </c>
      <c r="H11" s="62">
        <f>SUMIF(Expenses!$E$2:$E$500,"Shared",Expenses!$D$2:$D$500)</f>
        <v/>
      </c>
      <c r="I11" s="62" t="inlineStr">
        <is>
          <t>-</t>
        </is>
      </c>
    </row>
    <row r="12" ht="15" customHeight="1" s="43">
      <c r="B12" s="51">
        <f>IF(Settings!B6="","",Settings!B6)</f>
        <v/>
      </c>
      <c r="C12" s="64">
        <f>IF($B12="","",SUMIF(Expenses!$C$2:$C$500,$B12,Expenses!$D$2:$D$500))</f>
        <v/>
      </c>
      <c r="D12" s="65">
        <f>IF($B12="","",IFERROR($C12/SUM(Expenses!$D$2:$D$500),0))</f>
        <v/>
      </c>
      <c r="E12" s="64">
        <f>IF($B12="","",$C12*(12/MAX(1,SUMPRODUCT((Expenses!$I$2:$I$500&lt;&gt;"")/COUNTIF(Expenses!$I$2:$I$500,Expenses!$I$2:$I$500&amp;"")))))</f>
        <v/>
      </c>
    </row>
    <row r="13" ht="15" customHeight="1" s="43">
      <c r="B13" s="61">
        <f>IF(Settings!B7="","",Settings!B7)</f>
        <v/>
      </c>
      <c r="C13" s="62">
        <f>IF($B13="","",SUMIF(Expenses!$C$2:$C$500,$B13,Expenses!$D$2:$D$500))</f>
        <v/>
      </c>
      <c r="D13" s="63">
        <f>IF($B13="","",IFERROR($C13/SUM(Expenses!$D$2:$D$500),0))</f>
        <v/>
      </c>
      <c r="E13" s="62">
        <f>IF($B13="","",$C13*(12/MAX(1,SUMPRODUCT((Expenses!$I$2:$I$500&lt;&gt;"")/COUNTIF(Expenses!$I$2:$I$500,Expenses!$I$2:$I$500&amp;"")))))</f>
        <v/>
      </c>
      <c r="G13" s="66" t="inlineStr">
        <is>
          <t>* personal spends + half of everything marked Shared.</t>
        </is>
      </c>
    </row>
    <row r="14" ht="15" customHeight="1" s="43">
      <c r="B14" s="51">
        <f>IF(Settings!B8="","",Settings!B8)</f>
        <v/>
      </c>
      <c r="C14" s="64">
        <f>IF($B14="","",SUMIF(Expenses!$C$2:$C$500,$B14,Expenses!$D$2:$D$500))</f>
        <v/>
      </c>
      <c r="D14" s="65">
        <f>IF($B14="","",IFERROR($C14/SUM(Expenses!$D$2:$D$500),0))</f>
        <v/>
      </c>
      <c r="E14" s="64">
        <f>IF($B14="","",$C14*(12/MAX(1,SUMPRODUCT((Expenses!$I$2:$I$500&lt;&gt;"")/COUNTIF(Expenses!$I$2:$I$500,Expenses!$I$2:$I$500&amp;"")))))</f>
        <v/>
      </c>
    </row>
    <row r="15" ht="15" customHeight="1" s="43">
      <c r="B15" s="61">
        <f>IF(Settings!B9="","",Settings!B9)</f>
        <v/>
      </c>
      <c r="C15" s="62">
        <f>IF($B15="","",SUMIF(Expenses!$C$2:$C$500,$B15,Expenses!$D$2:$D$500))</f>
        <v/>
      </c>
      <c r="D15" s="63">
        <f>IF($B15="","",IFERROR($C15/SUM(Expenses!$D$2:$D$500),0))</f>
        <v/>
      </c>
      <c r="E15" s="62">
        <f>IF($B15="","",$C15*(12/MAX(1,SUMPRODUCT((Expenses!$I$2:$I$500&lt;&gt;"")/COUNTIF(Expenses!$I$2:$I$500,Expenses!$I$2:$I$500&amp;"")))))</f>
        <v/>
      </c>
      <c r="G15" s="67" t="inlineStr">
        <is>
          <t>You owe / (are owed):</t>
        </is>
      </c>
      <c r="I15" s="68">
        <f>I9-H9</f>
        <v/>
      </c>
    </row>
    <row r="16" ht="15" customHeight="1" s="43">
      <c r="B16" s="51">
        <f>IF(Settings!B10="","",Settings!B10)</f>
        <v/>
      </c>
      <c r="C16" s="64">
        <f>IF($B16="","",SUMIF(Expenses!$C$2:$C$500,$B16,Expenses!$D$2:$D$500))</f>
        <v/>
      </c>
      <c r="D16" s="65">
        <f>IF($B16="","",IFERROR($C16/SUM(Expenses!$D$2:$D$500),0))</f>
        <v/>
      </c>
      <c r="E16" s="64">
        <f>IF($B16="","",$C16*(12/MAX(1,SUMPRODUCT((Expenses!$I$2:$I$500&lt;&gt;"")/COUNTIF(Expenses!$I$2:$I$500,Expenses!$I$2:$I$500&amp;"")))))</f>
        <v/>
      </c>
    </row>
    <row r="17" ht="15" customHeight="1" s="43">
      <c r="B17" s="61">
        <f>IF(Settings!B11="","",Settings!B11)</f>
        <v/>
      </c>
      <c r="C17" s="62">
        <f>IF($B17="","",SUMIF(Expenses!$C$2:$C$500,$B17,Expenses!$D$2:$D$500))</f>
        <v/>
      </c>
      <c r="D17" s="63">
        <f>IF($B17="","",IFERROR($C17/SUM(Expenses!$D$2:$D$500),0))</f>
        <v/>
      </c>
      <c r="E17" s="62">
        <f>IF($B17="","",$C17*(12/MAX(1,SUMPRODUCT((Expenses!$I$2:$I$500&lt;&gt;"")/COUNTIF(Expenses!$I$2:$I$500,Expenses!$I$2:$I$500&amp;"")))))</f>
        <v/>
      </c>
    </row>
    <row r="18" ht="15" customHeight="1" s="43">
      <c r="B18" s="51">
        <f>IF(Settings!B12="","",Settings!B12)</f>
        <v/>
      </c>
      <c r="C18" s="64">
        <f>IF($B18="","",SUMIF(Expenses!$C$2:$C$500,$B18,Expenses!$D$2:$D$500))</f>
        <v/>
      </c>
      <c r="D18" s="65">
        <f>IF($B18="","",IFERROR($C18/SUM(Expenses!$D$2:$D$500),0))</f>
        <v/>
      </c>
      <c r="E18" s="64">
        <f>IF($B18="","",$C18*(12/MAX(1,SUMPRODUCT((Expenses!$I$2:$I$500&lt;&gt;"")/COUNTIF(Expenses!$I$2:$I$500,Expenses!$I$2:$I$500&amp;"")))))</f>
        <v/>
      </c>
      <c r="G18" s="60" t="inlineStr">
        <is>
          <t>Month</t>
        </is>
      </c>
      <c r="H18" s="60" t="inlineStr">
        <is>
          <t>Total</t>
        </is>
      </c>
      <c r="I18" s="60" t="inlineStr">
        <is>
          <t>Eating Out</t>
        </is>
      </c>
    </row>
    <row r="19" ht="15" customHeight="1" s="43">
      <c r="B19" s="61">
        <f>IF(Settings!B13="","",Settings!B13)</f>
        <v/>
      </c>
      <c r="C19" s="62">
        <f>IF($B19="","",SUMIF(Expenses!$C$2:$C$500,$B19,Expenses!$D$2:$D$500))</f>
        <v/>
      </c>
      <c r="D19" s="63">
        <f>IF($B19="","",IFERROR($C19/SUM(Expenses!$D$2:$D$500),0))</f>
        <v/>
      </c>
      <c r="E19" s="62">
        <f>IF($B19="","",$C19*(12/MAX(1,SUMPRODUCT((Expenses!$I$2:$I$500&lt;&gt;"")/COUNTIF(Expenses!$I$2:$I$500,Expenses!$I$2:$I$500&amp;"")))))</f>
        <v/>
      </c>
      <c r="G19" s="61" t="inlineStr">
        <is>
          <t>2026-04</t>
        </is>
      </c>
      <c r="H19" s="62">
        <f>SUMIF(Expenses!$I$2:$I$500,$G19,Expenses!$D$2:$D$500)</f>
        <v/>
      </c>
      <c r="I19" s="62">
        <f>SUMIFS(Expenses!$D$2:$D$500,Expenses!$I$2:$I$500,$G19,Expenses!$C$2:$C$500,"Eating Out / Delivery")</f>
        <v/>
      </c>
    </row>
    <row r="20" ht="15" customHeight="1" s="43">
      <c r="B20" s="51">
        <f>IF(Settings!B14="","",Settings!B14)</f>
        <v/>
      </c>
      <c r="C20" s="64">
        <f>IF($B20="","",SUMIF(Expenses!$C$2:$C$500,$B20,Expenses!$D$2:$D$500))</f>
        <v/>
      </c>
      <c r="D20" s="65">
        <f>IF($B20="","",IFERROR($C20/SUM(Expenses!$D$2:$D$500),0))</f>
        <v/>
      </c>
      <c r="E20" s="64">
        <f>IF($B20="","",$C20*(12/MAX(1,SUMPRODUCT((Expenses!$I$2:$I$500&lt;&gt;"")/COUNTIF(Expenses!$I$2:$I$500,Expenses!$I$2:$I$500&amp;"")))))</f>
        <v/>
      </c>
      <c r="G20" s="51" t="inlineStr">
        <is>
          <t>2026-05</t>
        </is>
      </c>
      <c r="H20" s="64">
        <f>SUMIF(Expenses!$I$2:$I$500,$G20,Expenses!$D$2:$D$500)</f>
        <v/>
      </c>
      <c r="I20" s="64">
        <f>SUMIFS(Expenses!$D$2:$D$500,Expenses!$I$2:$I$500,$G20,Expenses!$C$2:$C$500,"Eating Out / Delivery")</f>
        <v/>
      </c>
    </row>
    <row r="21" ht="15" customHeight="1" s="43">
      <c r="B21" s="61">
        <f>IF(Settings!B15="","",Settings!B15)</f>
        <v/>
      </c>
      <c r="C21" s="62">
        <f>IF($B21="","",SUMIF(Expenses!$C$2:$C$500,$B21,Expenses!$D$2:$D$500))</f>
        <v/>
      </c>
      <c r="D21" s="63">
        <f>IF($B21="","",IFERROR($C21/SUM(Expenses!$D$2:$D$500),0))</f>
        <v/>
      </c>
      <c r="E21" s="62">
        <f>IF($B21="","",$C21*(12/MAX(1,SUMPRODUCT((Expenses!$I$2:$I$500&lt;&gt;"")/COUNTIF(Expenses!$I$2:$I$500,Expenses!$I$2:$I$500&amp;"")))))</f>
        <v/>
      </c>
      <c r="G21" s="61" t="inlineStr">
        <is>
          <t>2026-06</t>
        </is>
      </c>
      <c r="H21" s="62">
        <f>SUMIF(Expenses!$I$2:$I$500,$G21,Expenses!$D$2:$D$500)</f>
        <v/>
      </c>
      <c r="I21" s="62">
        <f>SUMIFS(Expenses!$D$2:$D$500,Expenses!$I$2:$I$500,$G21,Expenses!$C$2:$C$500,"Eating Out / Delivery")</f>
        <v/>
      </c>
    </row>
    <row r="22" ht="15" customHeight="1" s="43">
      <c r="B22" s="51">
        <f>IF(Settings!B16="","",Settings!B16)</f>
        <v/>
      </c>
      <c r="C22" s="64">
        <f>IF($B22="","",SUMIF(Expenses!$C$2:$C$500,$B22,Expenses!$D$2:$D$500))</f>
        <v/>
      </c>
      <c r="D22" s="65">
        <f>IF($B22="","",IFERROR($C22/SUM(Expenses!$D$2:$D$500),0))</f>
        <v/>
      </c>
      <c r="E22" s="64">
        <f>IF($B22="","",$C22*(12/MAX(1,SUMPRODUCT((Expenses!$I$2:$I$500&lt;&gt;"")/COUNTIF(Expenses!$I$2:$I$500,Expenses!$I$2:$I$500&amp;"")))))</f>
        <v/>
      </c>
      <c r="G22" s="51" t="inlineStr">
        <is>
          <t>2026-07</t>
        </is>
      </c>
      <c r="H22" s="64">
        <f>SUMIF(Expenses!$I$2:$I$500,$G22,Expenses!$D$2:$D$500)</f>
        <v/>
      </c>
      <c r="I22" s="64">
        <f>SUMIFS(Expenses!$D$2:$D$500,Expenses!$I$2:$I$500,$G22,Expenses!$C$2:$C$500,"Eating Out / Delivery")</f>
        <v/>
      </c>
    </row>
    <row r="23" ht="15" customHeight="1" s="43">
      <c r="B23" s="61">
        <f>IF(Settings!B17="","",Settings!B17)</f>
        <v/>
      </c>
      <c r="C23" s="62">
        <f>IF($B23="","",SUMIF(Expenses!$C$2:$C$500,$B23,Expenses!$D$2:$D$500))</f>
        <v/>
      </c>
      <c r="D23" s="63">
        <f>IF($B23="","",IFERROR($C23/SUM(Expenses!$D$2:$D$500),0))</f>
        <v/>
      </c>
      <c r="E23" s="62">
        <f>IF($B23="","",$C23*(12/MAX(1,SUMPRODUCT((Expenses!$I$2:$I$500&lt;&gt;"")/COUNTIF(Expenses!$I$2:$I$500,Expenses!$I$2:$I$500&amp;"")))))</f>
        <v/>
      </c>
      <c r="G23" s="61" t="inlineStr">
        <is>
          <t>2026-08</t>
        </is>
      </c>
      <c r="H23" s="62">
        <f>SUMIF(Expenses!$I$2:$I$500,$G23,Expenses!$D$2:$D$500)</f>
        <v/>
      </c>
      <c r="I23" s="62">
        <f>SUMIFS(Expenses!$D$2:$D$500,Expenses!$I$2:$I$500,$G23,Expenses!$C$2:$C$500,"Eating Out / Delivery")</f>
        <v/>
      </c>
    </row>
    <row r="24" ht="15" customHeight="1" s="43">
      <c r="B24" s="51">
        <f>IF(Settings!B18="","",Settings!B18)</f>
        <v/>
      </c>
      <c r="C24" s="64">
        <f>IF($B24="","",SUMIF(Expenses!$C$2:$C$500,$B24,Expenses!$D$2:$D$500))</f>
        <v/>
      </c>
      <c r="D24" s="65">
        <f>IF($B24="","",IFERROR($C24/SUM(Expenses!$D$2:$D$500),0))</f>
        <v/>
      </c>
      <c r="E24" s="64">
        <f>IF($B24="","",$C24*(12/MAX(1,SUMPRODUCT((Expenses!$I$2:$I$500&lt;&gt;"")/COUNTIF(Expenses!$I$2:$I$500,Expenses!$I$2:$I$500&amp;"")))))</f>
        <v/>
      </c>
      <c r="G24" s="51" t="inlineStr">
        <is>
          <t>2026-09</t>
        </is>
      </c>
      <c r="H24" s="64">
        <f>SUMIF(Expenses!$I$2:$I$500,$G24,Expenses!$D$2:$D$500)</f>
        <v/>
      </c>
      <c r="I24" s="64">
        <f>SUMIFS(Expenses!$D$2:$D$500,Expenses!$I$2:$I$500,$G24,Expenses!$C$2:$C$500,"Eating Out / Delivery")</f>
        <v/>
      </c>
    </row>
    <row r="25" ht="15" customHeight="1" s="43">
      <c r="B25" s="61">
        <f>IF(Settings!B19="","",Settings!B19)</f>
        <v/>
      </c>
      <c r="C25" s="62">
        <f>IF($B25="","",SUMIF(Expenses!$C$2:$C$500,$B25,Expenses!$D$2:$D$500))</f>
        <v/>
      </c>
      <c r="D25" s="63">
        <f>IF($B25="","",IFERROR($C25/SUM(Expenses!$D$2:$D$500),0))</f>
        <v/>
      </c>
      <c r="E25" s="62">
        <f>IF($B25="","",$C25*(12/MAX(1,SUMPRODUCT((Expenses!$I$2:$I$500&lt;&gt;"")/COUNTIF(Expenses!$I$2:$I$500,Expenses!$I$2:$I$500&amp;"")))))</f>
        <v/>
      </c>
    </row>
    <row r="26" ht="15" customHeight="1" s="43">
      <c r="B26" s="51">
        <f>IF(Settings!B20="","",Settings!B20)</f>
        <v/>
      </c>
      <c r="C26" s="64">
        <f>IF($B26="","",SUMIF(Expenses!$C$2:$C$500,$B26,Expenses!$D$2:$D$500))</f>
        <v/>
      </c>
      <c r="D26" s="65">
        <f>IF($B26="","",IFERROR($C26/SUM(Expenses!$D$2:$D$500),0))</f>
        <v/>
      </c>
      <c r="E26" s="64">
        <f>IF($B26="","",$C26*(12/MAX(1,SUMPRODUCT((Expenses!$I$2:$I$500&lt;&gt;"")/COUNTIF(Expenses!$I$2:$I$500,Expenses!$I$2:$I$500&amp;"")))))</f>
        <v/>
      </c>
    </row>
    <row r="27" ht="15" customHeight="1" s="43">
      <c r="B27" s="61">
        <f>IF(Settings!B21="","",Settings!B21)</f>
        <v/>
      </c>
      <c r="C27" s="62">
        <f>IF($B27="","",SUMIF(Expenses!$C$2:$C$500,$B27,Expenses!$D$2:$D$500))</f>
        <v/>
      </c>
      <c r="D27" s="63">
        <f>IF($B27="","",IFERROR($C27/SUM(Expenses!$D$2:$D$500),0))</f>
        <v/>
      </c>
      <c r="E27" s="62">
        <f>IF($B27="","",$C27*(12/MAX(1,SUMPRODUCT((Expenses!$I$2:$I$500&lt;&gt;"")/COUNTIF(Expenses!$I$2:$I$500,Expenses!$I$2:$I$500&amp;"")))))</f>
        <v/>
      </c>
    </row>
    <row r="28" ht="15" customHeight="1" s="43">
      <c r="B28" s="51">
        <f>IF(Settings!B22="","",Settings!B22)</f>
        <v/>
      </c>
      <c r="C28" s="64">
        <f>IF($B28="","",SUMIF(Expenses!$C$2:$C$500,$B28,Expenses!$D$2:$D$500))</f>
        <v/>
      </c>
      <c r="D28" s="65">
        <f>IF($B28="","",IFERROR($C28/SUM(Expenses!$D$2:$D$500),0))</f>
        <v/>
      </c>
      <c r="E28" s="64">
        <f>IF($B28="","",$C28*(12/MAX(1,SUMPRODUCT((Expenses!$I$2:$I$500&lt;&gt;"")/COUNTIF(Expenses!$I$2:$I$500,Expenses!$I$2:$I$500&amp;"")))))</f>
        <v/>
      </c>
    </row>
    <row r="29" ht="15" customHeight="1" s="43">
      <c r="B29" s="61">
        <f>IF(Settings!B23="","",Settings!B23)</f>
        <v/>
      </c>
      <c r="C29" s="62">
        <f>IF($B29="","",SUMIF(Expenses!$C$2:$C$500,$B29,Expenses!$D$2:$D$500))</f>
        <v/>
      </c>
      <c r="D29" s="63">
        <f>IF($B29="","",IFERROR($C29/SUM(Expenses!$D$2:$D$500),0))</f>
        <v/>
      </c>
      <c r="E29" s="62">
        <f>IF($B29="","",$C29*(12/MAX(1,SUMPRODUCT((Expenses!$I$2:$I$500&lt;&gt;"")/COUNTIF(Expenses!$I$2:$I$500,Expenses!$I$2:$I$500&amp;"")))))</f>
        <v/>
      </c>
    </row>
    <row r="30" ht="15" customHeight="1" s="43">
      <c r="B30" s="51">
        <f>IF(Settings!B24="","",Settings!B24)</f>
        <v/>
      </c>
      <c r="C30" s="64">
        <f>IF($B30="","",SUMIF(Expenses!$C$2:$C$500,$B30,Expenses!$D$2:$D$500))</f>
        <v/>
      </c>
      <c r="D30" s="65">
        <f>IF($B30="","",IFERROR($C30/SUM(Expenses!$D$2:$D$500),0))</f>
        <v/>
      </c>
      <c r="E30" s="64">
        <f>IF($B30="","",$C30*(12/MAX(1,SUMPRODUCT((Expenses!$I$2:$I$500&lt;&gt;"")/COUNTIF(Expenses!$I$2:$I$500,Expenses!$I$2:$I$500&amp;"")))))</f>
        <v/>
      </c>
    </row>
    <row r="31" ht="15" customHeight="1" s="43">
      <c r="B31" s="61">
        <f>IF(Settings!B25="","",Settings!B25)</f>
        <v/>
      </c>
      <c r="C31" s="62">
        <f>IF($B31="","",SUMIF(Expenses!$C$2:$C$500,$B31,Expenses!$D$2:$D$500))</f>
        <v/>
      </c>
      <c r="D31" s="63">
        <f>IF($B31="","",IFERROR($C31/SUM(Expenses!$D$2:$D$500),0))</f>
        <v/>
      </c>
      <c r="E31" s="62">
        <f>IF($B31="","",$C31*(12/MAX(1,SUMPRODUCT((Expenses!$I$2:$I$500&lt;&gt;"")/COUNTIF(Expenses!$I$2:$I$500,Expenses!$I$2:$I$500&amp;"")))))</f>
        <v/>
      </c>
    </row>
    <row r="32" ht="15" customHeight="1" s="43">
      <c r="B32" s="51">
        <f>IF(Settings!B26="","",Settings!B26)</f>
        <v/>
      </c>
      <c r="C32" s="64">
        <f>IF($B32="","",SUMIF(Expenses!$C$2:$C$500,$B32,Expenses!$D$2:$D$500))</f>
        <v/>
      </c>
      <c r="D32" s="65">
        <f>IF($B32="","",IFERROR($C32/SUM(Expenses!$D$2:$D$500),0))</f>
        <v/>
      </c>
      <c r="E32" s="64">
        <f>IF($B32="","",$C32*(12/MAX(1,SUMPRODUCT((Expenses!$I$2:$I$500&lt;&gt;"")/COUNTIF(Expenses!$I$2:$I$500,Expenses!$I$2:$I$500&amp;"")))))</f>
        <v/>
      </c>
    </row>
    <row r="33" ht="15" customHeight="1" s="43">
      <c r="B33" s="61">
        <f>IF(Settings!B27="","",Settings!B27)</f>
        <v/>
      </c>
      <c r="C33" s="62">
        <f>IF($B33="","",SUMIF(Expenses!$C$2:$C$500,$B33,Expenses!$D$2:$D$500))</f>
        <v/>
      </c>
      <c r="D33" s="63">
        <f>IF($B33="","",IFERROR($C33/SUM(Expenses!$D$2:$D$500),0))</f>
        <v/>
      </c>
      <c r="E33" s="62">
        <f>IF($B33="","",$C33*(12/MAX(1,SUMPRODUCT((Expenses!$I$2:$I$500&lt;&gt;"")/COUNTIF(Expenses!$I$2:$I$500,Expenses!$I$2:$I$500&amp;"")))))</f>
        <v/>
      </c>
    </row>
    <row r="34" ht="15" customHeight="1" s="43">
      <c r="B34" s="51">
        <f>IF(Settings!B28="","",Settings!B28)</f>
        <v/>
      </c>
      <c r="C34" s="64">
        <f>IF($B34="","",SUMIF(Expenses!$C$2:$C$500,$B34,Expenses!$D$2:$D$500))</f>
        <v/>
      </c>
      <c r="D34" s="65">
        <f>IF($B34="","",IFERROR($C34/SUM(Expenses!$D$2:$D$500),0))</f>
        <v/>
      </c>
      <c r="E34" s="64">
        <f>IF($B34="","",$C34*(12/MAX(1,SUMPRODUCT((Expenses!$I$2:$I$500&lt;&gt;"")/COUNTIF(Expenses!$I$2:$I$500,Expenses!$I$2:$I$500&amp;"")))))</f>
        <v/>
      </c>
    </row>
    <row r="35" ht="15" customHeight="1" s="43">
      <c r="B35" s="61">
        <f>IF(Settings!B29="","",Settings!B29)</f>
        <v/>
      </c>
      <c r="C35" s="62">
        <f>IF($B35="","",SUMIF(Expenses!$C$2:$C$500,$B35,Expenses!$D$2:$D$500))</f>
        <v/>
      </c>
      <c r="D35" s="63">
        <f>IF($B35="","",IFERROR($C35/SUM(Expenses!$D$2:$D$500),0))</f>
        <v/>
      </c>
      <c r="E35" s="62">
        <f>IF($B35="","",$C35*(12/MAX(1,SUMPRODUCT((Expenses!$I$2:$I$500&lt;&gt;"")/COUNTIF(Expenses!$I$2:$I$500,Expenses!$I$2:$I$500&amp;"")))))</f>
        <v/>
      </c>
    </row>
    <row r="36" ht="15" customHeight="1" s="43">
      <c r="B36" s="51">
        <f>IF(Settings!B30="","",Settings!B30)</f>
        <v/>
      </c>
      <c r="C36" s="64">
        <f>IF($B36="","",SUMIF(Expenses!$C$2:$C$500,$B36,Expenses!$D$2:$D$500))</f>
        <v/>
      </c>
      <c r="D36" s="65">
        <f>IF($B36="","",IFERROR($C36/SUM(Expenses!$D$2:$D$500),0))</f>
        <v/>
      </c>
      <c r="E36" s="64">
        <f>IF($B36="","",$C36*(12/MAX(1,SUMPRODUCT((Expenses!$I$2:$I$500&lt;&gt;"")/COUNTIF(Expenses!$I$2:$I$500,Expenses!$I$2:$I$500&amp;"")))))</f>
        <v/>
      </c>
    </row>
    <row r="37" ht="15" customHeight="1" s="43">
      <c r="B37" s="61">
        <f>IF(Settings!B31="","",Settings!B31)</f>
        <v/>
      </c>
      <c r="C37" s="62">
        <f>IF($B37="","",SUMIF(Expenses!$C$2:$C$500,$B37,Expenses!$D$2:$D$500))</f>
        <v/>
      </c>
      <c r="D37" s="63">
        <f>IF($B37="","",IFERROR($C37/SUM(Expenses!$D$2:$D$500),0))</f>
        <v/>
      </c>
      <c r="E37" s="62">
        <f>IF($B37="","",$C37*(12/MAX(1,SUMPRODUCT((Expenses!$I$2:$I$500&lt;&gt;"")/COUNTIF(Expenses!$I$2:$I$500,Expenses!$I$2:$I$500&amp;"")))))</f>
        <v/>
      </c>
    </row>
    <row r="38" ht="15" customHeight="1" s="43">
      <c r="B38" s="51">
        <f>IF(Settings!B32="","",Settings!B32)</f>
        <v/>
      </c>
      <c r="C38" s="64">
        <f>IF($B38="","",SUMIF(Expenses!$C$2:$C$500,$B38,Expenses!$D$2:$D$500))</f>
        <v/>
      </c>
      <c r="D38" s="65">
        <f>IF($B38="","",IFERROR($C38/SUM(Expenses!$D$2:$D$500),0))</f>
        <v/>
      </c>
      <c r="E38" s="64">
        <f>IF($B38="","",$C38*(12/MAX(1,SUMPRODUCT((Expenses!$I$2:$I$500&lt;&gt;"")/COUNTIF(Expenses!$I$2:$I$500,Expenses!$I$2:$I$500&amp;"")))))</f>
        <v/>
      </c>
    </row>
    <row r="39" ht="15" customHeight="1" s="43">
      <c r="B39" s="61">
        <f>IF(Settings!B33="","",Settings!B33)</f>
        <v/>
      </c>
      <c r="C39" s="62">
        <f>IF($B39="","",SUMIF(Expenses!$C$2:$C$500,$B39,Expenses!$D$2:$D$500))</f>
        <v/>
      </c>
      <c r="D39" s="63">
        <f>IF($B39="","",IFERROR($C39/SUM(Expenses!$D$2:$D$500),0))</f>
        <v/>
      </c>
      <c r="E39" s="62">
        <f>IF($B39="","",$C39*(12/MAX(1,SUMPRODUCT((Expenses!$I$2:$I$500&lt;&gt;"")/COUNTIF(Expenses!$I$2:$I$500,Expenses!$I$2:$I$500&amp;"")))))</f>
        <v/>
      </c>
    </row>
    <row r="40" ht="15" customHeight="1" s="43">
      <c r="B40" s="51">
        <f>IF(Settings!B34="","",Settings!B34)</f>
        <v/>
      </c>
      <c r="C40" s="64">
        <f>IF($B40="","",SUMIF(Expenses!$C$2:$C$500,$B40,Expenses!$D$2:$D$500))</f>
        <v/>
      </c>
      <c r="D40" s="65">
        <f>IF($B40="","",IFERROR($C40/SUM(Expenses!$D$2:$D$500),0))</f>
        <v/>
      </c>
      <c r="E40" s="64">
        <f>IF($B40="","",$C40*(12/MAX(1,SUMPRODUCT((Expenses!$I$2:$I$500&lt;&gt;"")/COUNTIF(Expenses!$I$2:$I$500,Expenses!$I$2:$I$500&amp;"")))))</f>
        <v/>
      </c>
    </row>
    <row r="41" ht="15" customHeight="1" s="43">
      <c r="B41" s="61">
        <f>IF(Settings!B35="","",Settings!B35)</f>
        <v/>
      </c>
      <c r="C41" s="62">
        <f>IF($B41="","",SUMIF(Expenses!$C$2:$C$500,$B41,Expenses!$D$2:$D$500))</f>
        <v/>
      </c>
      <c r="D41" s="63">
        <f>IF($B41="","",IFERROR($C41/SUM(Expenses!$D$2:$D$500),0))</f>
        <v/>
      </c>
      <c r="E41" s="62">
        <f>IF($B41="","",$C41*(12/MAX(1,SUMPRODUCT((Expenses!$I$2:$I$500&lt;&gt;"")/COUNTIF(Expenses!$I$2:$I$500,Expenses!$I$2:$I$500&amp;"")))))</f>
        <v/>
      </c>
    </row>
    <row r="42" ht="15" customHeight="1" s="43">
      <c r="B42" s="51">
        <f>IF(Settings!B36="","",Settings!B36)</f>
        <v/>
      </c>
      <c r="C42" s="64">
        <f>IF($B42="","",SUMIF(Expenses!$C$2:$C$500,$B42,Expenses!$D$2:$D$500))</f>
        <v/>
      </c>
      <c r="D42" s="65">
        <f>IF($B42="","",IFERROR($C42/SUM(Expenses!$D$2:$D$500),0))</f>
        <v/>
      </c>
      <c r="E42" s="64">
        <f>IF($B42="","",$C42*(12/MAX(1,SUMPRODUCT((Expenses!$I$2:$I$500&lt;&gt;"")/COUNTIF(Expenses!$I$2:$I$500,Expenses!$I$2:$I$500&amp;"")))))</f>
        <v/>
      </c>
    </row>
    <row r="43" ht="15" customHeight="1" s="43">
      <c r="B43" s="61">
        <f>IF(Settings!B37="","",Settings!B37)</f>
        <v/>
      </c>
      <c r="C43" s="62">
        <f>IF($B43="","",SUMIF(Expenses!$C$2:$C$500,$B43,Expenses!$D$2:$D$500))</f>
        <v/>
      </c>
      <c r="D43" s="63">
        <f>IF($B43="","",IFERROR($C43/SUM(Expenses!$D$2:$D$500),0))</f>
        <v/>
      </c>
      <c r="E43" s="62">
        <f>IF($B43="","",$C43*(12/MAX(1,SUMPRODUCT((Expenses!$I$2:$I$500&lt;&gt;"")/COUNTIF(Expenses!$I$2:$I$500,Expenses!$I$2:$I$500&amp;"")))))</f>
        <v/>
      </c>
    </row>
    <row r="44" ht="15" customHeight="1" s="43">
      <c r="B44" s="51">
        <f>IF(Settings!B38="","",Settings!B38)</f>
        <v/>
      </c>
      <c r="C44" s="64">
        <f>IF($B44="","",SUMIF(Expenses!$C$2:$C$500,$B44,Expenses!$D$2:$D$500))</f>
        <v/>
      </c>
      <c r="D44" s="65">
        <f>IF($B44="","",IFERROR($C44/SUM(Expenses!$D$2:$D$500),0))</f>
        <v/>
      </c>
      <c r="E44" s="64">
        <f>IF($B44="","",$C44*(12/MAX(1,SUMPRODUCT((Expenses!$I$2:$I$500&lt;&gt;"")/COUNTIF(Expenses!$I$2:$I$500,Expenses!$I$2:$I$500&amp;"")))))</f>
        <v/>
      </c>
    </row>
    <row r="45" ht="15" customHeight="1" s="43">
      <c r="B45" s="61">
        <f>IF(Settings!B39="","",Settings!B39)</f>
        <v/>
      </c>
      <c r="C45" s="62">
        <f>IF($B45="","",SUMIF(Expenses!$C$2:$C$500,$B45,Expenses!$D$2:$D$500))</f>
        <v/>
      </c>
      <c r="D45" s="63">
        <f>IF($B45="","",IFERROR($C45/SUM(Expenses!$D$2:$D$500),0))</f>
        <v/>
      </c>
      <c r="E45" s="62">
        <f>IF($B45="","",$C45*(12/MAX(1,SUMPRODUCT((Expenses!$I$2:$I$500&lt;&gt;"")/COUNTIF(Expenses!$I$2:$I$500,Expenses!$I$2:$I$500&amp;"")))))</f>
        <v/>
      </c>
    </row>
    <row r="46" ht="15" customHeight="1" s="43">
      <c r="B46" s="51">
        <f>IF(Settings!B40="","",Settings!B40)</f>
        <v/>
      </c>
      <c r="C46" s="64">
        <f>IF($B46="","",SUMIF(Expenses!$C$2:$C$500,$B46,Expenses!$D$2:$D$500))</f>
        <v/>
      </c>
      <c r="D46" s="65">
        <f>IF($B46="","",IFERROR($C46/SUM(Expenses!$D$2:$D$500),0))</f>
        <v/>
      </c>
      <c r="E46" s="64">
        <f>IF($B46="","",$C46*(12/MAX(1,SUMPRODUCT((Expenses!$I$2:$I$500&lt;&gt;"")/COUNTIF(Expenses!$I$2:$I$500,Expenses!$I$2:$I$500&amp;"")))))</f>
        <v/>
      </c>
    </row>
    <row r="47" ht="15" customHeight="1" s="43">
      <c r="B47" s="61">
        <f>IF(Settings!B41="","",Settings!B41)</f>
        <v/>
      </c>
      <c r="C47" s="62">
        <f>IF($B47="","",SUMIF(Expenses!$C$2:$C$500,$B47,Expenses!$D$2:$D$500))</f>
        <v/>
      </c>
      <c r="D47" s="63">
        <f>IF($B47="","",IFERROR($C47/SUM(Expenses!$D$2:$D$500),0))</f>
        <v/>
      </c>
      <c r="E47" s="62">
        <f>IF($B47="","",$C47*(12/MAX(1,SUMPRODUCT((Expenses!$I$2:$I$500&lt;&gt;"")/COUNTIF(Expenses!$I$2:$I$500,Expenses!$I$2:$I$500&amp;"")))))</f>
        <v/>
      </c>
    </row>
    <row r="48" ht="15" customHeight="1" s="43">
      <c r="B48" s="51">
        <f>IF(Settings!B42="","",Settings!B42)</f>
        <v/>
      </c>
      <c r="C48" s="64">
        <f>IF($B48="","",SUMIF(Expenses!$C$2:$C$500,$B48,Expenses!$D$2:$D$500))</f>
        <v/>
      </c>
      <c r="D48" s="65">
        <f>IF($B48="","",IFERROR($C48/SUM(Expenses!$D$2:$D$500),0))</f>
        <v/>
      </c>
      <c r="E48" s="64">
        <f>IF($B48="","",$C48*(12/MAX(1,SUMPRODUCT((Expenses!$I$2:$I$500&lt;&gt;"")/COUNTIF(Expenses!$I$2:$I$500,Expenses!$I$2:$I$500&amp;"")))))</f>
        <v/>
      </c>
    </row>
    <row r="49" ht="15" customHeight="1" s="43">
      <c r="B49" s="69" t="inlineStr">
        <is>
          <t>TOTAL</t>
        </is>
      </c>
      <c r="C49" s="70">
        <f>SUM(C9:C48)</f>
        <v/>
      </c>
      <c r="E49" s="70">
        <f>SUM(E9:E48)</f>
        <v/>
      </c>
    </row>
    <row r="51" ht="15" customHeight="1" s="43">
      <c r="B51" s="57" t="inlineStr">
        <is>
          <t>Habit Insights</t>
        </is>
      </c>
      <c r="C51" s="71" t="n"/>
      <c r="D51" s="71" t="n"/>
      <c r="E51" s="58" t="n"/>
    </row>
    <row r="52" ht="15" customHeight="1" s="43">
      <c r="B52" s="61" t="inlineStr">
        <is>
          <t>Times we ordered out</t>
        </is>
      </c>
      <c r="C52" s="71" t="n"/>
      <c r="D52" s="58" t="n"/>
      <c r="E52" s="72">
        <f>COUNTIF(Expenses!$C$2:$C$500,"Eating Out / Delivery")</f>
        <v/>
      </c>
    </row>
    <row r="53" ht="15" customHeight="1" s="43">
      <c r="B53" s="51" t="inlineStr">
        <is>
          <t>Spent on eating out</t>
        </is>
      </c>
      <c r="C53" s="71" t="n"/>
      <c r="D53" s="58" t="n"/>
      <c r="E53" s="73">
        <f>SUMIF(Expenses!$C$2:$C$500,"Eating Out / Delivery",Expenses!$D$2:$D$500)</f>
        <v/>
      </c>
    </row>
    <row r="54" ht="15" customHeight="1" s="43">
      <c r="B54" s="61" t="inlineStr">
        <is>
          <t>Eating out per month</t>
        </is>
      </c>
      <c r="C54" s="71" t="n"/>
      <c r="D54" s="58" t="n"/>
      <c r="E54" s="72">
        <f>IFERROR(COUNTIF(Expenses!$C$2:$C$500,"Eating Out / Delivery")/MAX(1,SUMPRODUCT((Expenses!$I$2:$I$500&lt;&gt;"")/COUNTIF(Expenses!$I$2:$I$500,Expenses!$I$2:$I$500&amp;""))),0)</f>
        <v/>
      </c>
    </row>
    <row r="55" ht="15" customHeight="1" s="43">
      <c r="B55" s="51" t="inlineStr">
        <is>
          <t>Avg eating-out ticket</t>
        </is>
      </c>
      <c r="C55" s="71" t="n"/>
      <c r="D55" s="58" t="n"/>
      <c r="E55" s="73">
        <f>IFERROR(SUMIF(Expenses!$C$2:$C$500,"Eating Out / Delivery",Expenses!$D$2:$D$500)/COUNTIF(Expenses!$C$2:$C$500,"Eating Out / Delivery"),0)</f>
        <v/>
      </c>
    </row>
    <row r="56" ht="15" customHeight="1" s="43">
      <c r="B56" s="61" t="inlineStr">
        <is>
          <t>Quick-commerce orders</t>
        </is>
      </c>
      <c r="C56" s="71" t="n"/>
      <c r="D56" s="58" t="n"/>
      <c r="E56" s="72">
        <f>COUNTIF(Expenses!$C$2:$C$500,"Blinkit / Quick-commerce")</f>
        <v/>
      </c>
    </row>
    <row r="57" ht="15" customHeight="1" s="43">
      <c r="B57" s="51" t="inlineStr">
        <is>
          <t>Quick-commerce spend</t>
        </is>
      </c>
      <c r="C57" s="71" t="n"/>
      <c r="D57" s="58" t="n"/>
      <c r="E57" s="73">
        <f>SUMIF(Expenses!$C$2:$C$500,"Blinkit / Quick-commerce",Expenses!$D$2:$D$500)</f>
        <v/>
      </c>
    </row>
    <row r="58" ht="15" customHeight="1" s="43">
      <c r="B58" s="61" t="inlineStr">
        <is>
          <t>Impulse purchases</t>
        </is>
      </c>
      <c r="C58" s="71" t="n"/>
      <c r="D58" s="58" t="n"/>
      <c r="E58" s="72">
        <f>COUNTIF(Expenses!$H$2:$H$500,"Yes")</f>
        <v/>
      </c>
    </row>
    <row r="59" ht="15" customHeight="1" s="43">
      <c r="B59" s="51" t="inlineStr">
        <is>
          <t>Impulse spend</t>
        </is>
      </c>
      <c r="C59" s="71" t="n"/>
      <c r="D59" s="58" t="n"/>
      <c r="E59" s="73">
        <f>SUMIF(Expenses!$H$2:$H$500,"Yes",Expenses!$D$2:$D$500)</f>
        <v/>
      </c>
    </row>
    <row r="60" ht="15" customHeight="1" s="43">
      <c r="B60" s="61" t="inlineStr">
        <is>
          <t>Baby expenses (count)</t>
        </is>
      </c>
      <c r="C60" s="71" t="n"/>
      <c r="D60" s="58" t="n"/>
      <c r="E60" s="72">
        <f>COUNTIF(Expenses!$C$2:$C$500,"Baby")</f>
        <v/>
      </c>
    </row>
    <row r="61" ht="15" customHeight="1" s="43">
      <c r="B61" s="51" t="inlineStr">
        <is>
          <t>Baby spend</t>
        </is>
      </c>
      <c r="C61" s="71" t="n"/>
      <c r="D61" s="58" t="n"/>
      <c r="E61" s="73">
        <f>SUMIF(Expenses!$C$2:$C$500,"Baby",Expenses!$D$2:$D$500)</f>
        <v/>
      </c>
    </row>
  </sheetData>
  <mergeCells count="19">
    <mergeCell ref="B60:D60"/>
    <mergeCell ref="B61:D61"/>
    <mergeCell ref="B57:D57"/>
    <mergeCell ref="F6:G6"/>
    <mergeCell ref="B53:D53"/>
    <mergeCell ref="B51:E51"/>
    <mergeCell ref="D6:E6"/>
    <mergeCell ref="H6:I6"/>
    <mergeCell ref="F5:G5"/>
    <mergeCell ref="B55:D55"/>
    <mergeCell ref="B54:D54"/>
    <mergeCell ref="B6:C6"/>
    <mergeCell ref="B59:D59"/>
    <mergeCell ref="B5:C5"/>
    <mergeCell ref="D5:E5"/>
    <mergeCell ref="B56:D56"/>
    <mergeCell ref="B58:D58"/>
    <mergeCell ref="H5:I5"/>
    <mergeCell ref="B52:D5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O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42" min="1" max="1"/>
    <col width="26" customWidth="1" style="42" min="2" max="2"/>
    <col width="11" customWidth="1" style="42" min="3" max="15"/>
  </cols>
  <sheetData>
    <row r="2" ht="19.5" customHeight="1" s="43">
      <c r="B2" s="74" t="inlineStr">
        <is>
          <t>Monthly Summary</t>
        </is>
      </c>
    </row>
    <row r="3" ht="15" customHeight="1" s="43">
      <c r="B3" s="56" t="inlineStr">
        <is>
          <t>Each category's spend by month. Months across the top, categories down the side.</t>
        </is>
      </c>
    </row>
    <row r="4" ht="15" customHeight="1" s="43">
      <c r="C4" s="75" t="inlineStr">
        <is>
          <t>First month:</t>
        </is>
      </c>
      <c r="D4" s="67">
        <f>IFERROR(TEXT(MIN(Expenses!$A$2:$A$500),"YYYY-MM"),TEXT(TODAY(),"YYYY-MM"))</f>
        <v/>
      </c>
    </row>
    <row r="5" ht="24" customHeight="1" s="43">
      <c r="B5" s="44" t="inlineStr">
        <is>
          <t>Category</t>
        </is>
      </c>
      <c r="C5" s="44">
        <f>TEXT(EDATE(DATE(VALUE(LEFT($D$4,4)),VALUE(RIGHT($D$4,2)),1),0),"YYYY-MM")</f>
        <v/>
      </c>
      <c r="D5" s="44">
        <f>TEXT(EDATE(DATE(VALUE(LEFT($D$4,4)),VALUE(RIGHT($D$4,2)),1),1),"YYYY-MM")</f>
        <v/>
      </c>
      <c r="E5" s="44">
        <f>TEXT(EDATE(DATE(VALUE(LEFT($D$4,4)),VALUE(RIGHT($D$4,2)),1),2),"YYYY-MM")</f>
        <v/>
      </c>
      <c r="F5" s="44">
        <f>TEXT(EDATE(DATE(VALUE(LEFT($D$4,4)),VALUE(RIGHT($D$4,2)),1),3),"YYYY-MM")</f>
        <v/>
      </c>
      <c r="G5" s="44">
        <f>TEXT(EDATE(DATE(VALUE(LEFT($D$4,4)),VALUE(RIGHT($D$4,2)),1),4),"YYYY-MM")</f>
        <v/>
      </c>
      <c r="H5" s="44">
        <f>TEXT(EDATE(DATE(VALUE(LEFT($D$4,4)),VALUE(RIGHT($D$4,2)),1),5),"YYYY-MM")</f>
        <v/>
      </c>
      <c r="I5" s="44">
        <f>TEXT(EDATE(DATE(VALUE(LEFT($D$4,4)),VALUE(RIGHT($D$4,2)),1),6),"YYYY-MM")</f>
        <v/>
      </c>
      <c r="J5" s="44">
        <f>TEXT(EDATE(DATE(VALUE(LEFT($D$4,4)),VALUE(RIGHT($D$4,2)),1),7),"YYYY-MM")</f>
        <v/>
      </c>
      <c r="K5" s="44">
        <f>TEXT(EDATE(DATE(VALUE(LEFT($D$4,4)),VALUE(RIGHT($D$4,2)),1),8),"YYYY-MM")</f>
        <v/>
      </c>
      <c r="L5" s="44">
        <f>TEXT(EDATE(DATE(VALUE(LEFT($D$4,4)),VALUE(RIGHT($D$4,2)),1),9),"YYYY-MM")</f>
        <v/>
      </c>
      <c r="M5" s="44">
        <f>TEXT(EDATE(DATE(VALUE(LEFT($D$4,4)),VALUE(RIGHT($D$4,2)),1),10),"YYYY-MM")</f>
        <v/>
      </c>
      <c r="N5" s="44">
        <f>TEXT(EDATE(DATE(VALUE(LEFT($D$4,4)),VALUE(RIGHT($D$4,2)),1),11),"YYYY-MM")</f>
        <v/>
      </c>
      <c r="O5" s="57" t="inlineStr">
        <is>
          <t>Total</t>
        </is>
      </c>
    </row>
    <row r="6" ht="15" customHeight="1" s="43">
      <c r="B6" s="61">
        <f>IF(Settings!B3="","",Settings!B3)</f>
        <v/>
      </c>
      <c r="C6" s="76">
        <f>IF($B6="","",SUMIFS(Expenses!$D$2:$D$500,Expenses!$C$2:$C$500,$B6,Expenses!$I$2:$I$500,C$5))</f>
        <v/>
      </c>
      <c r="D6" s="76">
        <f>IF($B6="","",SUMIFS(Expenses!$D$2:$D$500,Expenses!$C$2:$C$500,$B6,Expenses!$I$2:$I$500,D$5))</f>
        <v/>
      </c>
      <c r="E6" s="76">
        <f>IF($B6="","",SUMIFS(Expenses!$D$2:$D$500,Expenses!$C$2:$C$500,$B6,Expenses!$I$2:$I$500,E$5))</f>
        <v/>
      </c>
      <c r="F6" s="76">
        <f>IF($B6="","",SUMIFS(Expenses!$D$2:$D$500,Expenses!$C$2:$C$500,$B6,Expenses!$I$2:$I$500,F$5))</f>
        <v/>
      </c>
      <c r="G6" s="76">
        <f>IF($B6="","",SUMIFS(Expenses!$D$2:$D$500,Expenses!$C$2:$C$500,$B6,Expenses!$I$2:$I$500,G$5))</f>
        <v/>
      </c>
      <c r="H6" s="76">
        <f>IF($B6="","",SUMIFS(Expenses!$D$2:$D$500,Expenses!$C$2:$C$500,$B6,Expenses!$I$2:$I$500,H$5))</f>
        <v/>
      </c>
      <c r="I6" s="76">
        <f>IF($B6="","",SUMIFS(Expenses!$D$2:$D$500,Expenses!$C$2:$C$500,$B6,Expenses!$I$2:$I$500,I$5))</f>
        <v/>
      </c>
      <c r="J6" s="76">
        <f>IF($B6="","",SUMIFS(Expenses!$D$2:$D$500,Expenses!$C$2:$C$500,$B6,Expenses!$I$2:$I$500,J$5))</f>
        <v/>
      </c>
      <c r="K6" s="76">
        <f>IF($B6="","",SUMIFS(Expenses!$D$2:$D$500,Expenses!$C$2:$C$500,$B6,Expenses!$I$2:$I$500,K$5))</f>
        <v/>
      </c>
      <c r="L6" s="76">
        <f>IF($B6="","",SUMIFS(Expenses!$D$2:$D$500,Expenses!$C$2:$C$500,$B6,Expenses!$I$2:$I$500,L$5))</f>
        <v/>
      </c>
      <c r="M6" s="76">
        <f>IF($B6="","",SUMIFS(Expenses!$D$2:$D$500,Expenses!$C$2:$C$500,$B6,Expenses!$I$2:$I$500,M$5))</f>
        <v/>
      </c>
      <c r="N6" s="76">
        <f>IF($B6="","",SUMIFS(Expenses!$D$2:$D$500,Expenses!$C$2:$C$500,$B6,Expenses!$I$2:$I$500,N$5))</f>
        <v/>
      </c>
      <c r="O6" s="62">
        <f>IF($B6="","",SUM(C6:N6))</f>
        <v/>
      </c>
    </row>
    <row r="7" ht="15" customHeight="1" s="43">
      <c r="B7" s="51">
        <f>IF(Settings!B4="","",Settings!B4)</f>
        <v/>
      </c>
      <c r="C7" s="77">
        <f>IF($B7="","",SUMIFS(Expenses!$D$2:$D$500,Expenses!$C$2:$C$500,$B7,Expenses!$I$2:$I$500,C$5))</f>
        <v/>
      </c>
      <c r="D7" s="77">
        <f>IF($B7="","",SUMIFS(Expenses!$D$2:$D$500,Expenses!$C$2:$C$500,$B7,Expenses!$I$2:$I$500,D$5))</f>
        <v/>
      </c>
      <c r="E7" s="77">
        <f>IF($B7="","",SUMIFS(Expenses!$D$2:$D$500,Expenses!$C$2:$C$500,$B7,Expenses!$I$2:$I$500,E$5))</f>
        <v/>
      </c>
      <c r="F7" s="77">
        <f>IF($B7="","",SUMIFS(Expenses!$D$2:$D$500,Expenses!$C$2:$C$500,$B7,Expenses!$I$2:$I$500,F$5))</f>
        <v/>
      </c>
      <c r="G7" s="77">
        <f>IF($B7="","",SUMIFS(Expenses!$D$2:$D$500,Expenses!$C$2:$C$500,$B7,Expenses!$I$2:$I$500,G$5))</f>
        <v/>
      </c>
      <c r="H7" s="77">
        <f>IF($B7="","",SUMIFS(Expenses!$D$2:$D$500,Expenses!$C$2:$C$500,$B7,Expenses!$I$2:$I$500,H$5))</f>
        <v/>
      </c>
      <c r="I7" s="77">
        <f>IF($B7="","",SUMIFS(Expenses!$D$2:$D$500,Expenses!$C$2:$C$500,$B7,Expenses!$I$2:$I$500,I$5))</f>
        <v/>
      </c>
      <c r="J7" s="77">
        <f>IF($B7="","",SUMIFS(Expenses!$D$2:$D$500,Expenses!$C$2:$C$500,$B7,Expenses!$I$2:$I$500,J$5))</f>
        <v/>
      </c>
      <c r="K7" s="77">
        <f>IF($B7="","",SUMIFS(Expenses!$D$2:$D$500,Expenses!$C$2:$C$500,$B7,Expenses!$I$2:$I$500,K$5))</f>
        <v/>
      </c>
      <c r="L7" s="77">
        <f>IF($B7="","",SUMIFS(Expenses!$D$2:$D$500,Expenses!$C$2:$C$500,$B7,Expenses!$I$2:$I$500,L$5))</f>
        <v/>
      </c>
      <c r="M7" s="77">
        <f>IF($B7="","",SUMIFS(Expenses!$D$2:$D$500,Expenses!$C$2:$C$500,$B7,Expenses!$I$2:$I$500,M$5))</f>
        <v/>
      </c>
      <c r="N7" s="77">
        <f>IF($B7="","",SUMIFS(Expenses!$D$2:$D$500,Expenses!$C$2:$C$500,$B7,Expenses!$I$2:$I$500,N$5))</f>
        <v/>
      </c>
      <c r="O7" s="64">
        <f>IF($B7="","",SUM(C7:N7))</f>
        <v/>
      </c>
    </row>
    <row r="8" ht="15" customHeight="1" s="43">
      <c r="B8" s="61">
        <f>IF(Settings!B5="","",Settings!B5)</f>
        <v/>
      </c>
      <c r="C8" s="76">
        <f>IF($B8="","",SUMIFS(Expenses!$D$2:$D$500,Expenses!$C$2:$C$500,$B8,Expenses!$I$2:$I$500,C$5))</f>
        <v/>
      </c>
      <c r="D8" s="76">
        <f>IF($B8="","",SUMIFS(Expenses!$D$2:$D$500,Expenses!$C$2:$C$500,$B8,Expenses!$I$2:$I$500,D$5))</f>
        <v/>
      </c>
      <c r="E8" s="76">
        <f>IF($B8="","",SUMIFS(Expenses!$D$2:$D$500,Expenses!$C$2:$C$500,$B8,Expenses!$I$2:$I$500,E$5))</f>
        <v/>
      </c>
      <c r="F8" s="76">
        <f>IF($B8="","",SUMIFS(Expenses!$D$2:$D$500,Expenses!$C$2:$C$500,$B8,Expenses!$I$2:$I$500,F$5))</f>
        <v/>
      </c>
      <c r="G8" s="76">
        <f>IF($B8="","",SUMIFS(Expenses!$D$2:$D$500,Expenses!$C$2:$C$500,$B8,Expenses!$I$2:$I$500,G$5))</f>
        <v/>
      </c>
      <c r="H8" s="76">
        <f>IF($B8="","",SUMIFS(Expenses!$D$2:$D$500,Expenses!$C$2:$C$500,$B8,Expenses!$I$2:$I$500,H$5))</f>
        <v/>
      </c>
      <c r="I8" s="76">
        <f>IF($B8="","",SUMIFS(Expenses!$D$2:$D$500,Expenses!$C$2:$C$500,$B8,Expenses!$I$2:$I$500,I$5))</f>
        <v/>
      </c>
      <c r="J8" s="76">
        <f>IF($B8="","",SUMIFS(Expenses!$D$2:$D$500,Expenses!$C$2:$C$500,$B8,Expenses!$I$2:$I$500,J$5))</f>
        <v/>
      </c>
      <c r="K8" s="76">
        <f>IF($B8="","",SUMIFS(Expenses!$D$2:$D$500,Expenses!$C$2:$C$500,$B8,Expenses!$I$2:$I$500,K$5))</f>
        <v/>
      </c>
      <c r="L8" s="76">
        <f>IF($B8="","",SUMIFS(Expenses!$D$2:$D$500,Expenses!$C$2:$C$500,$B8,Expenses!$I$2:$I$500,L$5))</f>
        <v/>
      </c>
      <c r="M8" s="76">
        <f>IF($B8="","",SUMIFS(Expenses!$D$2:$D$500,Expenses!$C$2:$C$500,$B8,Expenses!$I$2:$I$500,M$5))</f>
        <v/>
      </c>
      <c r="N8" s="76">
        <f>IF($B8="","",SUMIFS(Expenses!$D$2:$D$500,Expenses!$C$2:$C$500,$B8,Expenses!$I$2:$I$500,N$5))</f>
        <v/>
      </c>
      <c r="O8" s="62">
        <f>IF($B8="","",SUM(C8:N8))</f>
        <v/>
      </c>
    </row>
    <row r="9" ht="15" customHeight="1" s="43">
      <c r="B9" s="51">
        <f>IF(Settings!B6="","",Settings!B6)</f>
        <v/>
      </c>
      <c r="C9" s="77">
        <f>IF($B9="","",SUMIFS(Expenses!$D$2:$D$500,Expenses!$C$2:$C$500,$B9,Expenses!$I$2:$I$500,C$5))</f>
        <v/>
      </c>
      <c r="D9" s="77">
        <f>IF($B9="","",SUMIFS(Expenses!$D$2:$D$500,Expenses!$C$2:$C$500,$B9,Expenses!$I$2:$I$500,D$5))</f>
        <v/>
      </c>
      <c r="E9" s="77">
        <f>IF($B9="","",SUMIFS(Expenses!$D$2:$D$500,Expenses!$C$2:$C$500,$B9,Expenses!$I$2:$I$500,E$5))</f>
        <v/>
      </c>
      <c r="F9" s="77">
        <f>IF($B9="","",SUMIFS(Expenses!$D$2:$D$500,Expenses!$C$2:$C$500,$B9,Expenses!$I$2:$I$500,F$5))</f>
        <v/>
      </c>
      <c r="G9" s="77">
        <f>IF($B9="","",SUMIFS(Expenses!$D$2:$D$500,Expenses!$C$2:$C$500,$B9,Expenses!$I$2:$I$500,G$5))</f>
        <v/>
      </c>
      <c r="H9" s="77">
        <f>IF($B9="","",SUMIFS(Expenses!$D$2:$D$500,Expenses!$C$2:$C$500,$B9,Expenses!$I$2:$I$500,H$5))</f>
        <v/>
      </c>
      <c r="I9" s="77">
        <f>IF($B9="","",SUMIFS(Expenses!$D$2:$D$500,Expenses!$C$2:$C$500,$B9,Expenses!$I$2:$I$500,I$5))</f>
        <v/>
      </c>
      <c r="J9" s="77">
        <f>IF($B9="","",SUMIFS(Expenses!$D$2:$D$500,Expenses!$C$2:$C$500,$B9,Expenses!$I$2:$I$500,J$5))</f>
        <v/>
      </c>
      <c r="K9" s="77">
        <f>IF($B9="","",SUMIFS(Expenses!$D$2:$D$500,Expenses!$C$2:$C$500,$B9,Expenses!$I$2:$I$500,K$5))</f>
        <v/>
      </c>
      <c r="L9" s="77">
        <f>IF($B9="","",SUMIFS(Expenses!$D$2:$D$500,Expenses!$C$2:$C$500,$B9,Expenses!$I$2:$I$500,L$5))</f>
        <v/>
      </c>
      <c r="M9" s="77">
        <f>IF($B9="","",SUMIFS(Expenses!$D$2:$D$500,Expenses!$C$2:$C$500,$B9,Expenses!$I$2:$I$500,M$5))</f>
        <v/>
      </c>
      <c r="N9" s="77">
        <f>IF($B9="","",SUMIFS(Expenses!$D$2:$D$500,Expenses!$C$2:$C$500,$B9,Expenses!$I$2:$I$500,N$5))</f>
        <v/>
      </c>
      <c r="O9" s="64">
        <f>IF($B9="","",SUM(C9:N9))</f>
        <v/>
      </c>
    </row>
    <row r="10" ht="15" customHeight="1" s="43">
      <c r="B10" s="61">
        <f>IF(Settings!B7="","",Settings!B7)</f>
        <v/>
      </c>
      <c r="C10" s="76">
        <f>IF($B10="","",SUMIFS(Expenses!$D$2:$D$500,Expenses!$C$2:$C$500,$B10,Expenses!$I$2:$I$500,C$5))</f>
        <v/>
      </c>
      <c r="D10" s="76">
        <f>IF($B10="","",SUMIFS(Expenses!$D$2:$D$500,Expenses!$C$2:$C$500,$B10,Expenses!$I$2:$I$500,D$5))</f>
        <v/>
      </c>
      <c r="E10" s="76">
        <f>IF($B10="","",SUMIFS(Expenses!$D$2:$D$500,Expenses!$C$2:$C$500,$B10,Expenses!$I$2:$I$500,E$5))</f>
        <v/>
      </c>
      <c r="F10" s="76">
        <f>IF($B10="","",SUMIFS(Expenses!$D$2:$D$500,Expenses!$C$2:$C$500,$B10,Expenses!$I$2:$I$500,F$5))</f>
        <v/>
      </c>
      <c r="G10" s="76">
        <f>IF($B10="","",SUMIFS(Expenses!$D$2:$D$500,Expenses!$C$2:$C$500,$B10,Expenses!$I$2:$I$500,G$5))</f>
        <v/>
      </c>
      <c r="H10" s="76">
        <f>IF($B10="","",SUMIFS(Expenses!$D$2:$D$500,Expenses!$C$2:$C$500,$B10,Expenses!$I$2:$I$500,H$5))</f>
        <v/>
      </c>
      <c r="I10" s="76">
        <f>IF($B10="","",SUMIFS(Expenses!$D$2:$D$500,Expenses!$C$2:$C$500,$B10,Expenses!$I$2:$I$500,I$5))</f>
        <v/>
      </c>
      <c r="J10" s="76">
        <f>IF($B10="","",SUMIFS(Expenses!$D$2:$D$500,Expenses!$C$2:$C$500,$B10,Expenses!$I$2:$I$500,J$5))</f>
        <v/>
      </c>
      <c r="K10" s="76">
        <f>IF($B10="","",SUMIFS(Expenses!$D$2:$D$500,Expenses!$C$2:$C$500,$B10,Expenses!$I$2:$I$500,K$5))</f>
        <v/>
      </c>
      <c r="L10" s="76">
        <f>IF($B10="","",SUMIFS(Expenses!$D$2:$D$500,Expenses!$C$2:$C$500,$B10,Expenses!$I$2:$I$500,L$5))</f>
        <v/>
      </c>
      <c r="M10" s="76">
        <f>IF($B10="","",SUMIFS(Expenses!$D$2:$D$500,Expenses!$C$2:$C$500,$B10,Expenses!$I$2:$I$500,M$5))</f>
        <v/>
      </c>
      <c r="N10" s="76">
        <f>IF($B10="","",SUMIFS(Expenses!$D$2:$D$500,Expenses!$C$2:$C$500,$B10,Expenses!$I$2:$I$500,N$5))</f>
        <v/>
      </c>
      <c r="O10" s="62">
        <f>IF($B10="","",SUM(C10:N10))</f>
        <v/>
      </c>
    </row>
    <row r="11" ht="15" customHeight="1" s="43">
      <c r="B11" s="51">
        <f>IF(Settings!B8="","",Settings!B8)</f>
        <v/>
      </c>
      <c r="C11" s="77">
        <f>IF($B11="","",SUMIFS(Expenses!$D$2:$D$500,Expenses!$C$2:$C$500,$B11,Expenses!$I$2:$I$500,C$5))</f>
        <v/>
      </c>
      <c r="D11" s="77">
        <f>IF($B11="","",SUMIFS(Expenses!$D$2:$D$500,Expenses!$C$2:$C$500,$B11,Expenses!$I$2:$I$500,D$5))</f>
        <v/>
      </c>
      <c r="E11" s="77">
        <f>IF($B11="","",SUMIFS(Expenses!$D$2:$D$500,Expenses!$C$2:$C$500,$B11,Expenses!$I$2:$I$500,E$5))</f>
        <v/>
      </c>
      <c r="F11" s="77">
        <f>IF($B11="","",SUMIFS(Expenses!$D$2:$D$500,Expenses!$C$2:$C$500,$B11,Expenses!$I$2:$I$500,F$5))</f>
        <v/>
      </c>
      <c r="G11" s="77">
        <f>IF($B11="","",SUMIFS(Expenses!$D$2:$D$500,Expenses!$C$2:$C$500,$B11,Expenses!$I$2:$I$500,G$5))</f>
        <v/>
      </c>
      <c r="H11" s="77">
        <f>IF($B11="","",SUMIFS(Expenses!$D$2:$D$500,Expenses!$C$2:$C$500,$B11,Expenses!$I$2:$I$500,H$5))</f>
        <v/>
      </c>
      <c r="I11" s="77">
        <f>IF($B11="","",SUMIFS(Expenses!$D$2:$D$500,Expenses!$C$2:$C$500,$B11,Expenses!$I$2:$I$500,I$5))</f>
        <v/>
      </c>
      <c r="J11" s="77">
        <f>IF($B11="","",SUMIFS(Expenses!$D$2:$D$500,Expenses!$C$2:$C$500,$B11,Expenses!$I$2:$I$500,J$5))</f>
        <v/>
      </c>
      <c r="K11" s="77">
        <f>IF($B11="","",SUMIFS(Expenses!$D$2:$D$500,Expenses!$C$2:$C$500,$B11,Expenses!$I$2:$I$500,K$5))</f>
        <v/>
      </c>
      <c r="L11" s="77">
        <f>IF($B11="","",SUMIFS(Expenses!$D$2:$D$500,Expenses!$C$2:$C$500,$B11,Expenses!$I$2:$I$500,L$5))</f>
        <v/>
      </c>
      <c r="M11" s="77">
        <f>IF($B11="","",SUMIFS(Expenses!$D$2:$D$500,Expenses!$C$2:$C$500,$B11,Expenses!$I$2:$I$500,M$5))</f>
        <v/>
      </c>
      <c r="N11" s="77">
        <f>IF($B11="","",SUMIFS(Expenses!$D$2:$D$500,Expenses!$C$2:$C$500,$B11,Expenses!$I$2:$I$500,N$5))</f>
        <v/>
      </c>
      <c r="O11" s="64">
        <f>IF($B11="","",SUM(C11:N11))</f>
        <v/>
      </c>
    </row>
    <row r="12" ht="15" customHeight="1" s="43">
      <c r="B12" s="61">
        <f>IF(Settings!B9="","",Settings!B9)</f>
        <v/>
      </c>
      <c r="C12" s="76">
        <f>IF($B12="","",SUMIFS(Expenses!$D$2:$D$500,Expenses!$C$2:$C$500,$B12,Expenses!$I$2:$I$500,C$5))</f>
        <v/>
      </c>
      <c r="D12" s="76">
        <f>IF($B12="","",SUMIFS(Expenses!$D$2:$D$500,Expenses!$C$2:$C$500,$B12,Expenses!$I$2:$I$500,D$5))</f>
        <v/>
      </c>
      <c r="E12" s="76">
        <f>IF($B12="","",SUMIFS(Expenses!$D$2:$D$500,Expenses!$C$2:$C$500,$B12,Expenses!$I$2:$I$500,E$5))</f>
        <v/>
      </c>
      <c r="F12" s="76">
        <f>IF($B12="","",SUMIFS(Expenses!$D$2:$D$500,Expenses!$C$2:$C$500,$B12,Expenses!$I$2:$I$500,F$5))</f>
        <v/>
      </c>
      <c r="G12" s="76">
        <f>IF($B12="","",SUMIFS(Expenses!$D$2:$D$500,Expenses!$C$2:$C$500,$B12,Expenses!$I$2:$I$500,G$5))</f>
        <v/>
      </c>
      <c r="H12" s="76">
        <f>IF($B12="","",SUMIFS(Expenses!$D$2:$D$500,Expenses!$C$2:$C$500,$B12,Expenses!$I$2:$I$500,H$5))</f>
        <v/>
      </c>
      <c r="I12" s="76">
        <f>IF($B12="","",SUMIFS(Expenses!$D$2:$D$500,Expenses!$C$2:$C$500,$B12,Expenses!$I$2:$I$500,I$5))</f>
        <v/>
      </c>
      <c r="J12" s="76">
        <f>IF($B12="","",SUMIFS(Expenses!$D$2:$D$500,Expenses!$C$2:$C$500,$B12,Expenses!$I$2:$I$500,J$5))</f>
        <v/>
      </c>
      <c r="K12" s="76">
        <f>IF($B12="","",SUMIFS(Expenses!$D$2:$D$500,Expenses!$C$2:$C$500,$B12,Expenses!$I$2:$I$500,K$5))</f>
        <v/>
      </c>
      <c r="L12" s="76">
        <f>IF($B12="","",SUMIFS(Expenses!$D$2:$D$500,Expenses!$C$2:$C$500,$B12,Expenses!$I$2:$I$500,L$5))</f>
        <v/>
      </c>
      <c r="M12" s="76">
        <f>IF($B12="","",SUMIFS(Expenses!$D$2:$D$500,Expenses!$C$2:$C$500,$B12,Expenses!$I$2:$I$500,M$5))</f>
        <v/>
      </c>
      <c r="N12" s="76">
        <f>IF($B12="","",SUMIFS(Expenses!$D$2:$D$500,Expenses!$C$2:$C$500,$B12,Expenses!$I$2:$I$500,N$5))</f>
        <v/>
      </c>
      <c r="O12" s="62">
        <f>IF($B12="","",SUM(C12:N12))</f>
        <v/>
      </c>
    </row>
    <row r="13" ht="15" customHeight="1" s="43">
      <c r="B13" s="51">
        <f>IF(Settings!B10="","",Settings!B10)</f>
        <v/>
      </c>
      <c r="C13" s="77">
        <f>IF($B13="","",SUMIFS(Expenses!$D$2:$D$500,Expenses!$C$2:$C$500,$B13,Expenses!$I$2:$I$500,C$5))</f>
        <v/>
      </c>
      <c r="D13" s="77">
        <f>IF($B13="","",SUMIFS(Expenses!$D$2:$D$500,Expenses!$C$2:$C$500,$B13,Expenses!$I$2:$I$500,D$5))</f>
        <v/>
      </c>
      <c r="E13" s="77">
        <f>IF($B13="","",SUMIFS(Expenses!$D$2:$D$500,Expenses!$C$2:$C$500,$B13,Expenses!$I$2:$I$500,E$5))</f>
        <v/>
      </c>
      <c r="F13" s="77">
        <f>IF($B13="","",SUMIFS(Expenses!$D$2:$D$500,Expenses!$C$2:$C$500,$B13,Expenses!$I$2:$I$500,F$5))</f>
        <v/>
      </c>
      <c r="G13" s="77">
        <f>IF($B13="","",SUMIFS(Expenses!$D$2:$D$500,Expenses!$C$2:$C$500,$B13,Expenses!$I$2:$I$500,G$5))</f>
        <v/>
      </c>
      <c r="H13" s="77">
        <f>IF($B13="","",SUMIFS(Expenses!$D$2:$D$500,Expenses!$C$2:$C$500,$B13,Expenses!$I$2:$I$500,H$5))</f>
        <v/>
      </c>
      <c r="I13" s="77">
        <f>IF($B13="","",SUMIFS(Expenses!$D$2:$D$500,Expenses!$C$2:$C$500,$B13,Expenses!$I$2:$I$500,I$5))</f>
        <v/>
      </c>
      <c r="J13" s="77">
        <f>IF($B13="","",SUMIFS(Expenses!$D$2:$D$500,Expenses!$C$2:$C$500,$B13,Expenses!$I$2:$I$500,J$5))</f>
        <v/>
      </c>
      <c r="K13" s="77">
        <f>IF($B13="","",SUMIFS(Expenses!$D$2:$D$500,Expenses!$C$2:$C$500,$B13,Expenses!$I$2:$I$500,K$5))</f>
        <v/>
      </c>
      <c r="L13" s="77">
        <f>IF($B13="","",SUMIFS(Expenses!$D$2:$D$500,Expenses!$C$2:$C$500,$B13,Expenses!$I$2:$I$500,L$5))</f>
        <v/>
      </c>
      <c r="M13" s="77">
        <f>IF($B13="","",SUMIFS(Expenses!$D$2:$D$500,Expenses!$C$2:$C$500,$B13,Expenses!$I$2:$I$500,M$5))</f>
        <v/>
      </c>
      <c r="N13" s="77">
        <f>IF($B13="","",SUMIFS(Expenses!$D$2:$D$500,Expenses!$C$2:$C$500,$B13,Expenses!$I$2:$I$500,N$5))</f>
        <v/>
      </c>
      <c r="O13" s="64">
        <f>IF($B13="","",SUM(C13:N13))</f>
        <v/>
      </c>
    </row>
    <row r="14" ht="15" customHeight="1" s="43">
      <c r="B14" s="61">
        <f>IF(Settings!B11="","",Settings!B11)</f>
        <v/>
      </c>
      <c r="C14" s="76">
        <f>IF($B14="","",SUMIFS(Expenses!$D$2:$D$500,Expenses!$C$2:$C$500,$B14,Expenses!$I$2:$I$500,C$5))</f>
        <v/>
      </c>
      <c r="D14" s="76">
        <f>IF($B14="","",SUMIFS(Expenses!$D$2:$D$500,Expenses!$C$2:$C$500,$B14,Expenses!$I$2:$I$500,D$5))</f>
        <v/>
      </c>
      <c r="E14" s="76">
        <f>IF($B14="","",SUMIFS(Expenses!$D$2:$D$500,Expenses!$C$2:$C$500,$B14,Expenses!$I$2:$I$500,E$5))</f>
        <v/>
      </c>
      <c r="F14" s="76">
        <f>IF($B14="","",SUMIFS(Expenses!$D$2:$D$500,Expenses!$C$2:$C$500,$B14,Expenses!$I$2:$I$500,F$5))</f>
        <v/>
      </c>
      <c r="G14" s="76">
        <f>IF($B14="","",SUMIFS(Expenses!$D$2:$D$500,Expenses!$C$2:$C$500,$B14,Expenses!$I$2:$I$500,G$5))</f>
        <v/>
      </c>
      <c r="H14" s="76">
        <f>IF($B14="","",SUMIFS(Expenses!$D$2:$D$500,Expenses!$C$2:$C$500,$B14,Expenses!$I$2:$I$500,H$5))</f>
        <v/>
      </c>
      <c r="I14" s="76">
        <f>IF($B14="","",SUMIFS(Expenses!$D$2:$D$500,Expenses!$C$2:$C$500,$B14,Expenses!$I$2:$I$500,I$5))</f>
        <v/>
      </c>
      <c r="J14" s="76">
        <f>IF($B14="","",SUMIFS(Expenses!$D$2:$D$500,Expenses!$C$2:$C$500,$B14,Expenses!$I$2:$I$500,J$5))</f>
        <v/>
      </c>
      <c r="K14" s="76">
        <f>IF($B14="","",SUMIFS(Expenses!$D$2:$D$500,Expenses!$C$2:$C$500,$B14,Expenses!$I$2:$I$500,K$5))</f>
        <v/>
      </c>
      <c r="L14" s="76">
        <f>IF($B14="","",SUMIFS(Expenses!$D$2:$D$500,Expenses!$C$2:$C$500,$B14,Expenses!$I$2:$I$500,L$5))</f>
        <v/>
      </c>
      <c r="M14" s="76">
        <f>IF($B14="","",SUMIFS(Expenses!$D$2:$D$500,Expenses!$C$2:$C$500,$B14,Expenses!$I$2:$I$500,M$5))</f>
        <v/>
      </c>
      <c r="N14" s="76">
        <f>IF($B14="","",SUMIFS(Expenses!$D$2:$D$500,Expenses!$C$2:$C$500,$B14,Expenses!$I$2:$I$500,N$5))</f>
        <v/>
      </c>
      <c r="O14" s="62">
        <f>IF($B14="","",SUM(C14:N14))</f>
        <v/>
      </c>
    </row>
    <row r="15" ht="15" customHeight="1" s="43">
      <c r="B15" s="51">
        <f>IF(Settings!B12="","",Settings!B12)</f>
        <v/>
      </c>
      <c r="C15" s="77">
        <f>IF($B15="","",SUMIFS(Expenses!$D$2:$D$500,Expenses!$C$2:$C$500,$B15,Expenses!$I$2:$I$500,C$5))</f>
        <v/>
      </c>
      <c r="D15" s="77">
        <f>IF($B15="","",SUMIFS(Expenses!$D$2:$D$500,Expenses!$C$2:$C$500,$B15,Expenses!$I$2:$I$500,D$5))</f>
        <v/>
      </c>
      <c r="E15" s="77">
        <f>IF($B15="","",SUMIFS(Expenses!$D$2:$D$500,Expenses!$C$2:$C$500,$B15,Expenses!$I$2:$I$500,E$5))</f>
        <v/>
      </c>
      <c r="F15" s="77">
        <f>IF($B15="","",SUMIFS(Expenses!$D$2:$D$500,Expenses!$C$2:$C$500,$B15,Expenses!$I$2:$I$500,F$5))</f>
        <v/>
      </c>
      <c r="G15" s="77">
        <f>IF($B15="","",SUMIFS(Expenses!$D$2:$D$500,Expenses!$C$2:$C$500,$B15,Expenses!$I$2:$I$500,G$5))</f>
        <v/>
      </c>
      <c r="H15" s="77">
        <f>IF($B15="","",SUMIFS(Expenses!$D$2:$D$500,Expenses!$C$2:$C$500,$B15,Expenses!$I$2:$I$500,H$5))</f>
        <v/>
      </c>
      <c r="I15" s="77">
        <f>IF($B15="","",SUMIFS(Expenses!$D$2:$D$500,Expenses!$C$2:$C$500,$B15,Expenses!$I$2:$I$500,I$5))</f>
        <v/>
      </c>
      <c r="J15" s="77">
        <f>IF($B15="","",SUMIFS(Expenses!$D$2:$D$500,Expenses!$C$2:$C$500,$B15,Expenses!$I$2:$I$500,J$5))</f>
        <v/>
      </c>
      <c r="K15" s="77">
        <f>IF($B15="","",SUMIFS(Expenses!$D$2:$D$500,Expenses!$C$2:$C$500,$B15,Expenses!$I$2:$I$500,K$5))</f>
        <v/>
      </c>
      <c r="L15" s="77">
        <f>IF($B15="","",SUMIFS(Expenses!$D$2:$D$500,Expenses!$C$2:$C$500,$B15,Expenses!$I$2:$I$500,L$5))</f>
        <v/>
      </c>
      <c r="M15" s="77">
        <f>IF($B15="","",SUMIFS(Expenses!$D$2:$D$500,Expenses!$C$2:$C$500,$B15,Expenses!$I$2:$I$500,M$5))</f>
        <v/>
      </c>
      <c r="N15" s="77">
        <f>IF($B15="","",SUMIFS(Expenses!$D$2:$D$500,Expenses!$C$2:$C$500,$B15,Expenses!$I$2:$I$500,N$5))</f>
        <v/>
      </c>
      <c r="O15" s="64">
        <f>IF($B15="","",SUM(C15:N15))</f>
        <v/>
      </c>
    </row>
    <row r="16" ht="15" customHeight="1" s="43">
      <c r="B16" s="61">
        <f>IF(Settings!B13="","",Settings!B13)</f>
        <v/>
      </c>
      <c r="C16" s="76">
        <f>IF($B16="","",SUMIFS(Expenses!$D$2:$D$500,Expenses!$C$2:$C$500,$B16,Expenses!$I$2:$I$500,C$5))</f>
        <v/>
      </c>
      <c r="D16" s="76">
        <f>IF($B16="","",SUMIFS(Expenses!$D$2:$D$500,Expenses!$C$2:$C$500,$B16,Expenses!$I$2:$I$500,D$5))</f>
        <v/>
      </c>
      <c r="E16" s="76">
        <f>IF($B16="","",SUMIFS(Expenses!$D$2:$D$500,Expenses!$C$2:$C$500,$B16,Expenses!$I$2:$I$500,E$5))</f>
        <v/>
      </c>
      <c r="F16" s="76">
        <f>IF($B16="","",SUMIFS(Expenses!$D$2:$D$500,Expenses!$C$2:$C$500,$B16,Expenses!$I$2:$I$500,F$5))</f>
        <v/>
      </c>
      <c r="G16" s="76">
        <f>IF($B16="","",SUMIFS(Expenses!$D$2:$D$500,Expenses!$C$2:$C$500,$B16,Expenses!$I$2:$I$500,G$5))</f>
        <v/>
      </c>
      <c r="H16" s="76">
        <f>IF($B16="","",SUMIFS(Expenses!$D$2:$D$500,Expenses!$C$2:$C$500,$B16,Expenses!$I$2:$I$500,H$5))</f>
        <v/>
      </c>
      <c r="I16" s="76">
        <f>IF($B16="","",SUMIFS(Expenses!$D$2:$D$500,Expenses!$C$2:$C$500,$B16,Expenses!$I$2:$I$500,I$5))</f>
        <v/>
      </c>
      <c r="J16" s="76">
        <f>IF($B16="","",SUMIFS(Expenses!$D$2:$D$500,Expenses!$C$2:$C$500,$B16,Expenses!$I$2:$I$500,J$5))</f>
        <v/>
      </c>
      <c r="K16" s="76">
        <f>IF($B16="","",SUMIFS(Expenses!$D$2:$D$500,Expenses!$C$2:$C$500,$B16,Expenses!$I$2:$I$500,K$5))</f>
        <v/>
      </c>
      <c r="L16" s="76">
        <f>IF($B16="","",SUMIFS(Expenses!$D$2:$D$500,Expenses!$C$2:$C$500,$B16,Expenses!$I$2:$I$500,L$5))</f>
        <v/>
      </c>
      <c r="M16" s="76">
        <f>IF($B16="","",SUMIFS(Expenses!$D$2:$D$500,Expenses!$C$2:$C$500,$B16,Expenses!$I$2:$I$500,M$5))</f>
        <v/>
      </c>
      <c r="N16" s="76">
        <f>IF($B16="","",SUMIFS(Expenses!$D$2:$D$500,Expenses!$C$2:$C$500,$B16,Expenses!$I$2:$I$500,N$5))</f>
        <v/>
      </c>
      <c r="O16" s="62">
        <f>IF($B16="","",SUM(C16:N16))</f>
        <v/>
      </c>
    </row>
    <row r="17" ht="15" customHeight="1" s="43">
      <c r="B17" s="51">
        <f>IF(Settings!B14="","",Settings!B14)</f>
        <v/>
      </c>
      <c r="C17" s="77">
        <f>IF($B17="","",SUMIFS(Expenses!$D$2:$D$500,Expenses!$C$2:$C$500,$B17,Expenses!$I$2:$I$500,C$5))</f>
        <v/>
      </c>
      <c r="D17" s="77">
        <f>IF($B17="","",SUMIFS(Expenses!$D$2:$D$500,Expenses!$C$2:$C$500,$B17,Expenses!$I$2:$I$500,D$5))</f>
        <v/>
      </c>
      <c r="E17" s="77">
        <f>IF($B17="","",SUMIFS(Expenses!$D$2:$D$500,Expenses!$C$2:$C$500,$B17,Expenses!$I$2:$I$500,E$5))</f>
        <v/>
      </c>
      <c r="F17" s="77">
        <f>IF($B17="","",SUMIFS(Expenses!$D$2:$D$500,Expenses!$C$2:$C$500,$B17,Expenses!$I$2:$I$500,F$5))</f>
        <v/>
      </c>
      <c r="G17" s="77">
        <f>IF($B17="","",SUMIFS(Expenses!$D$2:$D$500,Expenses!$C$2:$C$500,$B17,Expenses!$I$2:$I$500,G$5))</f>
        <v/>
      </c>
      <c r="H17" s="77">
        <f>IF($B17="","",SUMIFS(Expenses!$D$2:$D$500,Expenses!$C$2:$C$500,$B17,Expenses!$I$2:$I$500,H$5))</f>
        <v/>
      </c>
      <c r="I17" s="77">
        <f>IF($B17="","",SUMIFS(Expenses!$D$2:$D$500,Expenses!$C$2:$C$500,$B17,Expenses!$I$2:$I$500,I$5))</f>
        <v/>
      </c>
      <c r="J17" s="77">
        <f>IF($B17="","",SUMIFS(Expenses!$D$2:$D$500,Expenses!$C$2:$C$500,$B17,Expenses!$I$2:$I$500,J$5))</f>
        <v/>
      </c>
      <c r="K17" s="77">
        <f>IF($B17="","",SUMIFS(Expenses!$D$2:$D$500,Expenses!$C$2:$C$500,$B17,Expenses!$I$2:$I$500,K$5))</f>
        <v/>
      </c>
      <c r="L17" s="77">
        <f>IF($B17="","",SUMIFS(Expenses!$D$2:$D$500,Expenses!$C$2:$C$500,$B17,Expenses!$I$2:$I$500,L$5))</f>
        <v/>
      </c>
      <c r="M17" s="77">
        <f>IF($B17="","",SUMIFS(Expenses!$D$2:$D$500,Expenses!$C$2:$C$500,$B17,Expenses!$I$2:$I$500,M$5))</f>
        <v/>
      </c>
      <c r="N17" s="77">
        <f>IF($B17="","",SUMIFS(Expenses!$D$2:$D$500,Expenses!$C$2:$C$500,$B17,Expenses!$I$2:$I$500,N$5))</f>
        <v/>
      </c>
      <c r="O17" s="64">
        <f>IF($B17="","",SUM(C17:N17))</f>
        <v/>
      </c>
    </row>
    <row r="18" ht="15" customHeight="1" s="43">
      <c r="B18" s="61">
        <f>IF(Settings!B15="","",Settings!B15)</f>
        <v/>
      </c>
      <c r="C18" s="76">
        <f>IF($B18="","",SUMIFS(Expenses!$D$2:$D$500,Expenses!$C$2:$C$500,$B18,Expenses!$I$2:$I$500,C$5))</f>
        <v/>
      </c>
      <c r="D18" s="76">
        <f>IF($B18="","",SUMIFS(Expenses!$D$2:$D$500,Expenses!$C$2:$C$500,$B18,Expenses!$I$2:$I$500,D$5))</f>
        <v/>
      </c>
      <c r="E18" s="76">
        <f>IF($B18="","",SUMIFS(Expenses!$D$2:$D$500,Expenses!$C$2:$C$500,$B18,Expenses!$I$2:$I$500,E$5))</f>
        <v/>
      </c>
      <c r="F18" s="76">
        <f>IF($B18="","",SUMIFS(Expenses!$D$2:$D$500,Expenses!$C$2:$C$500,$B18,Expenses!$I$2:$I$500,F$5))</f>
        <v/>
      </c>
      <c r="G18" s="76">
        <f>IF($B18="","",SUMIFS(Expenses!$D$2:$D$500,Expenses!$C$2:$C$500,$B18,Expenses!$I$2:$I$500,G$5))</f>
        <v/>
      </c>
      <c r="H18" s="76">
        <f>IF($B18="","",SUMIFS(Expenses!$D$2:$D$500,Expenses!$C$2:$C$500,$B18,Expenses!$I$2:$I$500,H$5))</f>
        <v/>
      </c>
      <c r="I18" s="76">
        <f>IF($B18="","",SUMIFS(Expenses!$D$2:$D$500,Expenses!$C$2:$C$500,$B18,Expenses!$I$2:$I$500,I$5))</f>
        <v/>
      </c>
      <c r="J18" s="76">
        <f>IF($B18="","",SUMIFS(Expenses!$D$2:$D$500,Expenses!$C$2:$C$500,$B18,Expenses!$I$2:$I$500,J$5))</f>
        <v/>
      </c>
      <c r="K18" s="76">
        <f>IF($B18="","",SUMIFS(Expenses!$D$2:$D$500,Expenses!$C$2:$C$500,$B18,Expenses!$I$2:$I$500,K$5))</f>
        <v/>
      </c>
      <c r="L18" s="76">
        <f>IF($B18="","",SUMIFS(Expenses!$D$2:$D$500,Expenses!$C$2:$C$500,$B18,Expenses!$I$2:$I$500,L$5))</f>
        <v/>
      </c>
      <c r="M18" s="76">
        <f>IF($B18="","",SUMIFS(Expenses!$D$2:$D$500,Expenses!$C$2:$C$500,$B18,Expenses!$I$2:$I$500,M$5))</f>
        <v/>
      </c>
      <c r="N18" s="76">
        <f>IF($B18="","",SUMIFS(Expenses!$D$2:$D$500,Expenses!$C$2:$C$500,$B18,Expenses!$I$2:$I$500,N$5))</f>
        <v/>
      </c>
      <c r="O18" s="62">
        <f>IF($B18="","",SUM(C18:N18))</f>
        <v/>
      </c>
    </row>
    <row r="19" ht="15" customHeight="1" s="43">
      <c r="B19" s="51">
        <f>IF(Settings!B16="","",Settings!B16)</f>
        <v/>
      </c>
      <c r="C19" s="77">
        <f>IF($B19="","",SUMIFS(Expenses!$D$2:$D$500,Expenses!$C$2:$C$500,$B19,Expenses!$I$2:$I$500,C$5))</f>
        <v/>
      </c>
      <c r="D19" s="77">
        <f>IF($B19="","",SUMIFS(Expenses!$D$2:$D$500,Expenses!$C$2:$C$500,$B19,Expenses!$I$2:$I$500,D$5))</f>
        <v/>
      </c>
      <c r="E19" s="77">
        <f>IF($B19="","",SUMIFS(Expenses!$D$2:$D$500,Expenses!$C$2:$C$500,$B19,Expenses!$I$2:$I$500,E$5))</f>
        <v/>
      </c>
      <c r="F19" s="77">
        <f>IF($B19="","",SUMIFS(Expenses!$D$2:$D$500,Expenses!$C$2:$C$500,$B19,Expenses!$I$2:$I$500,F$5))</f>
        <v/>
      </c>
      <c r="G19" s="77">
        <f>IF($B19="","",SUMIFS(Expenses!$D$2:$D$500,Expenses!$C$2:$C$500,$B19,Expenses!$I$2:$I$500,G$5))</f>
        <v/>
      </c>
      <c r="H19" s="77">
        <f>IF($B19="","",SUMIFS(Expenses!$D$2:$D$500,Expenses!$C$2:$C$500,$B19,Expenses!$I$2:$I$500,H$5))</f>
        <v/>
      </c>
      <c r="I19" s="77">
        <f>IF($B19="","",SUMIFS(Expenses!$D$2:$D$500,Expenses!$C$2:$C$500,$B19,Expenses!$I$2:$I$500,I$5))</f>
        <v/>
      </c>
      <c r="J19" s="77">
        <f>IF($B19="","",SUMIFS(Expenses!$D$2:$D$500,Expenses!$C$2:$C$500,$B19,Expenses!$I$2:$I$500,J$5))</f>
        <v/>
      </c>
      <c r="K19" s="77">
        <f>IF($B19="","",SUMIFS(Expenses!$D$2:$D$500,Expenses!$C$2:$C$500,$B19,Expenses!$I$2:$I$500,K$5))</f>
        <v/>
      </c>
      <c r="L19" s="77">
        <f>IF($B19="","",SUMIFS(Expenses!$D$2:$D$500,Expenses!$C$2:$C$500,$B19,Expenses!$I$2:$I$500,L$5))</f>
        <v/>
      </c>
      <c r="M19" s="77">
        <f>IF($B19="","",SUMIFS(Expenses!$D$2:$D$500,Expenses!$C$2:$C$500,$B19,Expenses!$I$2:$I$500,M$5))</f>
        <v/>
      </c>
      <c r="N19" s="77">
        <f>IF($B19="","",SUMIFS(Expenses!$D$2:$D$500,Expenses!$C$2:$C$500,$B19,Expenses!$I$2:$I$500,N$5))</f>
        <v/>
      </c>
      <c r="O19" s="64">
        <f>IF($B19="","",SUM(C19:N19))</f>
        <v/>
      </c>
    </row>
    <row r="20" ht="15" customHeight="1" s="43">
      <c r="B20" s="61">
        <f>IF(Settings!B17="","",Settings!B17)</f>
        <v/>
      </c>
      <c r="C20" s="76">
        <f>IF($B20="","",SUMIFS(Expenses!$D$2:$D$500,Expenses!$C$2:$C$500,$B20,Expenses!$I$2:$I$500,C$5))</f>
        <v/>
      </c>
      <c r="D20" s="76">
        <f>IF($B20="","",SUMIFS(Expenses!$D$2:$D$500,Expenses!$C$2:$C$500,$B20,Expenses!$I$2:$I$500,D$5))</f>
        <v/>
      </c>
      <c r="E20" s="76">
        <f>IF($B20="","",SUMIFS(Expenses!$D$2:$D$500,Expenses!$C$2:$C$500,$B20,Expenses!$I$2:$I$500,E$5))</f>
        <v/>
      </c>
      <c r="F20" s="76">
        <f>IF($B20="","",SUMIFS(Expenses!$D$2:$D$500,Expenses!$C$2:$C$500,$B20,Expenses!$I$2:$I$500,F$5))</f>
        <v/>
      </c>
      <c r="G20" s="76">
        <f>IF($B20="","",SUMIFS(Expenses!$D$2:$D$500,Expenses!$C$2:$C$500,$B20,Expenses!$I$2:$I$500,G$5))</f>
        <v/>
      </c>
      <c r="H20" s="76">
        <f>IF($B20="","",SUMIFS(Expenses!$D$2:$D$500,Expenses!$C$2:$C$500,$B20,Expenses!$I$2:$I$500,H$5))</f>
        <v/>
      </c>
      <c r="I20" s="76">
        <f>IF($B20="","",SUMIFS(Expenses!$D$2:$D$500,Expenses!$C$2:$C$500,$B20,Expenses!$I$2:$I$500,I$5))</f>
        <v/>
      </c>
      <c r="J20" s="76">
        <f>IF($B20="","",SUMIFS(Expenses!$D$2:$D$500,Expenses!$C$2:$C$500,$B20,Expenses!$I$2:$I$500,J$5))</f>
        <v/>
      </c>
      <c r="K20" s="76">
        <f>IF($B20="","",SUMIFS(Expenses!$D$2:$D$500,Expenses!$C$2:$C$500,$B20,Expenses!$I$2:$I$500,K$5))</f>
        <v/>
      </c>
      <c r="L20" s="76">
        <f>IF($B20="","",SUMIFS(Expenses!$D$2:$D$500,Expenses!$C$2:$C$500,$B20,Expenses!$I$2:$I$500,L$5))</f>
        <v/>
      </c>
      <c r="M20" s="76">
        <f>IF($B20="","",SUMIFS(Expenses!$D$2:$D$500,Expenses!$C$2:$C$500,$B20,Expenses!$I$2:$I$500,M$5))</f>
        <v/>
      </c>
      <c r="N20" s="76">
        <f>IF($B20="","",SUMIFS(Expenses!$D$2:$D$500,Expenses!$C$2:$C$500,$B20,Expenses!$I$2:$I$500,N$5))</f>
        <v/>
      </c>
      <c r="O20" s="62">
        <f>IF($B20="","",SUM(C20:N20))</f>
        <v/>
      </c>
    </row>
    <row r="21" ht="15" customHeight="1" s="43">
      <c r="B21" s="51">
        <f>IF(Settings!B18="","",Settings!B18)</f>
        <v/>
      </c>
      <c r="C21" s="77">
        <f>IF($B21="","",SUMIFS(Expenses!$D$2:$D$500,Expenses!$C$2:$C$500,$B21,Expenses!$I$2:$I$500,C$5))</f>
        <v/>
      </c>
      <c r="D21" s="77">
        <f>IF($B21="","",SUMIFS(Expenses!$D$2:$D$500,Expenses!$C$2:$C$500,$B21,Expenses!$I$2:$I$500,D$5))</f>
        <v/>
      </c>
      <c r="E21" s="77">
        <f>IF($B21="","",SUMIFS(Expenses!$D$2:$D$500,Expenses!$C$2:$C$500,$B21,Expenses!$I$2:$I$500,E$5))</f>
        <v/>
      </c>
      <c r="F21" s="77">
        <f>IF($B21="","",SUMIFS(Expenses!$D$2:$D$500,Expenses!$C$2:$C$500,$B21,Expenses!$I$2:$I$500,F$5))</f>
        <v/>
      </c>
      <c r="G21" s="77">
        <f>IF($B21="","",SUMIFS(Expenses!$D$2:$D$500,Expenses!$C$2:$C$500,$B21,Expenses!$I$2:$I$500,G$5))</f>
        <v/>
      </c>
      <c r="H21" s="77">
        <f>IF($B21="","",SUMIFS(Expenses!$D$2:$D$500,Expenses!$C$2:$C$500,$B21,Expenses!$I$2:$I$500,H$5))</f>
        <v/>
      </c>
      <c r="I21" s="77">
        <f>IF($B21="","",SUMIFS(Expenses!$D$2:$D$500,Expenses!$C$2:$C$500,$B21,Expenses!$I$2:$I$500,I$5))</f>
        <v/>
      </c>
      <c r="J21" s="77">
        <f>IF($B21="","",SUMIFS(Expenses!$D$2:$D$500,Expenses!$C$2:$C$500,$B21,Expenses!$I$2:$I$500,J$5))</f>
        <v/>
      </c>
      <c r="K21" s="77">
        <f>IF($B21="","",SUMIFS(Expenses!$D$2:$D$500,Expenses!$C$2:$C$500,$B21,Expenses!$I$2:$I$500,K$5))</f>
        <v/>
      </c>
      <c r="L21" s="77">
        <f>IF($B21="","",SUMIFS(Expenses!$D$2:$D$500,Expenses!$C$2:$C$500,$B21,Expenses!$I$2:$I$500,L$5))</f>
        <v/>
      </c>
      <c r="M21" s="77">
        <f>IF($B21="","",SUMIFS(Expenses!$D$2:$D$500,Expenses!$C$2:$C$500,$B21,Expenses!$I$2:$I$500,M$5))</f>
        <v/>
      </c>
      <c r="N21" s="77">
        <f>IF($B21="","",SUMIFS(Expenses!$D$2:$D$500,Expenses!$C$2:$C$500,$B21,Expenses!$I$2:$I$500,N$5))</f>
        <v/>
      </c>
      <c r="O21" s="64">
        <f>IF($B21="","",SUM(C21:N21))</f>
        <v/>
      </c>
    </row>
    <row r="22" ht="15" customHeight="1" s="43">
      <c r="B22" s="61">
        <f>IF(Settings!B19="","",Settings!B19)</f>
        <v/>
      </c>
      <c r="C22" s="76">
        <f>IF($B22="","",SUMIFS(Expenses!$D$2:$D$500,Expenses!$C$2:$C$500,$B22,Expenses!$I$2:$I$500,C$5))</f>
        <v/>
      </c>
      <c r="D22" s="76">
        <f>IF($B22="","",SUMIFS(Expenses!$D$2:$D$500,Expenses!$C$2:$C$500,$B22,Expenses!$I$2:$I$500,D$5))</f>
        <v/>
      </c>
      <c r="E22" s="76">
        <f>IF($B22="","",SUMIFS(Expenses!$D$2:$D$500,Expenses!$C$2:$C$500,$B22,Expenses!$I$2:$I$500,E$5))</f>
        <v/>
      </c>
      <c r="F22" s="76">
        <f>IF($B22="","",SUMIFS(Expenses!$D$2:$D$500,Expenses!$C$2:$C$500,$B22,Expenses!$I$2:$I$500,F$5))</f>
        <v/>
      </c>
      <c r="G22" s="76">
        <f>IF($B22="","",SUMIFS(Expenses!$D$2:$D$500,Expenses!$C$2:$C$500,$B22,Expenses!$I$2:$I$500,G$5))</f>
        <v/>
      </c>
      <c r="H22" s="76">
        <f>IF($B22="","",SUMIFS(Expenses!$D$2:$D$500,Expenses!$C$2:$C$500,$B22,Expenses!$I$2:$I$500,H$5))</f>
        <v/>
      </c>
      <c r="I22" s="76">
        <f>IF($B22="","",SUMIFS(Expenses!$D$2:$D$500,Expenses!$C$2:$C$500,$B22,Expenses!$I$2:$I$500,I$5))</f>
        <v/>
      </c>
      <c r="J22" s="76">
        <f>IF($B22="","",SUMIFS(Expenses!$D$2:$D$500,Expenses!$C$2:$C$500,$B22,Expenses!$I$2:$I$500,J$5))</f>
        <v/>
      </c>
      <c r="K22" s="76">
        <f>IF($B22="","",SUMIFS(Expenses!$D$2:$D$500,Expenses!$C$2:$C$500,$B22,Expenses!$I$2:$I$500,K$5))</f>
        <v/>
      </c>
      <c r="L22" s="76">
        <f>IF($B22="","",SUMIFS(Expenses!$D$2:$D$500,Expenses!$C$2:$C$500,$B22,Expenses!$I$2:$I$500,L$5))</f>
        <v/>
      </c>
      <c r="M22" s="76">
        <f>IF($B22="","",SUMIFS(Expenses!$D$2:$D$500,Expenses!$C$2:$C$500,$B22,Expenses!$I$2:$I$500,M$5))</f>
        <v/>
      </c>
      <c r="N22" s="76">
        <f>IF($B22="","",SUMIFS(Expenses!$D$2:$D$500,Expenses!$C$2:$C$500,$B22,Expenses!$I$2:$I$500,N$5))</f>
        <v/>
      </c>
      <c r="O22" s="62">
        <f>IF($B22="","",SUM(C22:N22))</f>
        <v/>
      </c>
    </row>
    <row r="23" ht="15" customHeight="1" s="43">
      <c r="B23" s="51">
        <f>IF(Settings!B20="","",Settings!B20)</f>
        <v/>
      </c>
      <c r="C23" s="77">
        <f>IF($B23="","",SUMIFS(Expenses!$D$2:$D$500,Expenses!$C$2:$C$500,$B23,Expenses!$I$2:$I$500,C$5))</f>
        <v/>
      </c>
      <c r="D23" s="77">
        <f>IF($B23="","",SUMIFS(Expenses!$D$2:$D$500,Expenses!$C$2:$C$500,$B23,Expenses!$I$2:$I$500,D$5))</f>
        <v/>
      </c>
      <c r="E23" s="77">
        <f>IF($B23="","",SUMIFS(Expenses!$D$2:$D$500,Expenses!$C$2:$C$500,$B23,Expenses!$I$2:$I$500,E$5))</f>
        <v/>
      </c>
      <c r="F23" s="77">
        <f>IF($B23="","",SUMIFS(Expenses!$D$2:$D$500,Expenses!$C$2:$C$500,$B23,Expenses!$I$2:$I$500,F$5))</f>
        <v/>
      </c>
      <c r="G23" s="77">
        <f>IF($B23="","",SUMIFS(Expenses!$D$2:$D$500,Expenses!$C$2:$C$500,$B23,Expenses!$I$2:$I$500,G$5))</f>
        <v/>
      </c>
      <c r="H23" s="77">
        <f>IF($B23="","",SUMIFS(Expenses!$D$2:$D$500,Expenses!$C$2:$C$500,$B23,Expenses!$I$2:$I$500,H$5))</f>
        <v/>
      </c>
      <c r="I23" s="77">
        <f>IF($B23="","",SUMIFS(Expenses!$D$2:$D$500,Expenses!$C$2:$C$500,$B23,Expenses!$I$2:$I$500,I$5))</f>
        <v/>
      </c>
      <c r="J23" s="77">
        <f>IF($B23="","",SUMIFS(Expenses!$D$2:$D$500,Expenses!$C$2:$C$500,$B23,Expenses!$I$2:$I$500,J$5))</f>
        <v/>
      </c>
      <c r="K23" s="77">
        <f>IF($B23="","",SUMIFS(Expenses!$D$2:$D$500,Expenses!$C$2:$C$500,$B23,Expenses!$I$2:$I$500,K$5))</f>
        <v/>
      </c>
      <c r="L23" s="77">
        <f>IF($B23="","",SUMIFS(Expenses!$D$2:$D$500,Expenses!$C$2:$C$500,$B23,Expenses!$I$2:$I$500,L$5))</f>
        <v/>
      </c>
      <c r="M23" s="77">
        <f>IF($B23="","",SUMIFS(Expenses!$D$2:$D$500,Expenses!$C$2:$C$500,$B23,Expenses!$I$2:$I$500,M$5))</f>
        <v/>
      </c>
      <c r="N23" s="77">
        <f>IF($B23="","",SUMIFS(Expenses!$D$2:$D$500,Expenses!$C$2:$C$500,$B23,Expenses!$I$2:$I$500,N$5))</f>
        <v/>
      </c>
      <c r="O23" s="64">
        <f>IF($B23="","",SUM(C23:N23))</f>
        <v/>
      </c>
    </row>
    <row r="24" ht="15" customHeight="1" s="43">
      <c r="B24" s="61">
        <f>IF(Settings!B21="","",Settings!B21)</f>
        <v/>
      </c>
      <c r="C24" s="76">
        <f>IF($B24="","",SUMIFS(Expenses!$D$2:$D$500,Expenses!$C$2:$C$500,$B24,Expenses!$I$2:$I$500,C$5))</f>
        <v/>
      </c>
      <c r="D24" s="76">
        <f>IF($B24="","",SUMIFS(Expenses!$D$2:$D$500,Expenses!$C$2:$C$500,$B24,Expenses!$I$2:$I$500,D$5))</f>
        <v/>
      </c>
      <c r="E24" s="76">
        <f>IF($B24="","",SUMIFS(Expenses!$D$2:$D$500,Expenses!$C$2:$C$500,$B24,Expenses!$I$2:$I$500,E$5))</f>
        <v/>
      </c>
      <c r="F24" s="76">
        <f>IF($B24="","",SUMIFS(Expenses!$D$2:$D$500,Expenses!$C$2:$C$500,$B24,Expenses!$I$2:$I$500,F$5))</f>
        <v/>
      </c>
      <c r="G24" s="76">
        <f>IF($B24="","",SUMIFS(Expenses!$D$2:$D$500,Expenses!$C$2:$C$500,$B24,Expenses!$I$2:$I$500,G$5))</f>
        <v/>
      </c>
      <c r="H24" s="76">
        <f>IF($B24="","",SUMIFS(Expenses!$D$2:$D$500,Expenses!$C$2:$C$500,$B24,Expenses!$I$2:$I$500,H$5))</f>
        <v/>
      </c>
      <c r="I24" s="76">
        <f>IF($B24="","",SUMIFS(Expenses!$D$2:$D$500,Expenses!$C$2:$C$500,$B24,Expenses!$I$2:$I$500,I$5))</f>
        <v/>
      </c>
      <c r="J24" s="76">
        <f>IF($B24="","",SUMIFS(Expenses!$D$2:$D$500,Expenses!$C$2:$C$500,$B24,Expenses!$I$2:$I$500,J$5))</f>
        <v/>
      </c>
      <c r="K24" s="76">
        <f>IF($B24="","",SUMIFS(Expenses!$D$2:$D$500,Expenses!$C$2:$C$500,$B24,Expenses!$I$2:$I$500,K$5))</f>
        <v/>
      </c>
      <c r="L24" s="76">
        <f>IF($B24="","",SUMIFS(Expenses!$D$2:$D$500,Expenses!$C$2:$C$500,$B24,Expenses!$I$2:$I$500,L$5))</f>
        <v/>
      </c>
      <c r="M24" s="76">
        <f>IF($B24="","",SUMIFS(Expenses!$D$2:$D$500,Expenses!$C$2:$C$500,$B24,Expenses!$I$2:$I$500,M$5))</f>
        <v/>
      </c>
      <c r="N24" s="76">
        <f>IF($B24="","",SUMIFS(Expenses!$D$2:$D$500,Expenses!$C$2:$C$500,$B24,Expenses!$I$2:$I$500,N$5))</f>
        <v/>
      </c>
      <c r="O24" s="62">
        <f>IF($B24="","",SUM(C24:N24))</f>
        <v/>
      </c>
    </row>
    <row r="25" ht="15" customHeight="1" s="43">
      <c r="B25" s="51">
        <f>IF(Settings!B22="","",Settings!B22)</f>
        <v/>
      </c>
      <c r="C25" s="77">
        <f>IF($B25="","",SUMIFS(Expenses!$D$2:$D$500,Expenses!$C$2:$C$500,$B25,Expenses!$I$2:$I$500,C$5))</f>
        <v/>
      </c>
      <c r="D25" s="77">
        <f>IF($B25="","",SUMIFS(Expenses!$D$2:$D$500,Expenses!$C$2:$C$500,$B25,Expenses!$I$2:$I$500,D$5))</f>
        <v/>
      </c>
      <c r="E25" s="77">
        <f>IF($B25="","",SUMIFS(Expenses!$D$2:$D$500,Expenses!$C$2:$C$500,$B25,Expenses!$I$2:$I$500,E$5))</f>
        <v/>
      </c>
      <c r="F25" s="77">
        <f>IF($B25="","",SUMIFS(Expenses!$D$2:$D$500,Expenses!$C$2:$C$500,$B25,Expenses!$I$2:$I$500,F$5))</f>
        <v/>
      </c>
      <c r="G25" s="77">
        <f>IF($B25="","",SUMIFS(Expenses!$D$2:$D$500,Expenses!$C$2:$C$500,$B25,Expenses!$I$2:$I$500,G$5))</f>
        <v/>
      </c>
      <c r="H25" s="77">
        <f>IF($B25="","",SUMIFS(Expenses!$D$2:$D$500,Expenses!$C$2:$C$500,$B25,Expenses!$I$2:$I$500,H$5))</f>
        <v/>
      </c>
      <c r="I25" s="77">
        <f>IF($B25="","",SUMIFS(Expenses!$D$2:$D$500,Expenses!$C$2:$C$500,$B25,Expenses!$I$2:$I$500,I$5))</f>
        <v/>
      </c>
      <c r="J25" s="77">
        <f>IF($B25="","",SUMIFS(Expenses!$D$2:$D$500,Expenses!$C$2:$C$500,$B25,Expenses!$I$2:$I$500,J$5))</f>
        <v/>
      </c>
      <c r="K25" s="77">
        <f>IF($B25="","",SUMIFS(Expenses!$D$2:$D$500,Expenses!$C$2:$C$500,$B25,Expenses!$I$2:$I$500,K$5))</f>
        <v/>
      </c>
      <c r="L25" s="77">
        <f>IF($B25="","",SUMIFS(Expenses!$D$2:$D$500,Expenses!$C$2:$C$500,$B25,Expenses!$I$2:$I$500,L$5))</f>
        <v/>
      </c>
      <c r="M25" s="77">
        <f>IF($B25="","",SUMIFS(Expenses!$D$2:$D$500,Expenses!$C$2:$C$500,$B25,Expenses!$I$2:$I$500,M$5))</f>
        <v/>
      </c>
      <c r="N25" s="77">
        <f>IF($B25="","",SUMIFS(Expenses!$D$2:$D$500,Expenses!$C$2:$C$500,$B25,Expenses!$I$2:$I$500,N$5))</f>
        <v/>
      </c>
      <c r="O25" s="64">
        <f>IF($B25="","",SUM(C25:N25))</f>
        <v/>
      </c>
    </row>
    <row r="26" ht="15" customHeight="1" s="43">
      <c r="B26" s="61">
        <f>IF(Settings!B23="","",Settings!B23)</f>
        <v/>
      </c>
      <c r="C26" s="76">
        <f>IF($B26="","",SUMIFS(Expenses!$D$2:$D$500,Expenses!$C$2:$C$500,$B26,Expenses!$I$2:$I$500,C$5))</f>
        <v/>
      </c>
      <c r="D26" s="76">
        <f>IF($B26="","",SUMIFS(Expenses!$D$2:$D$500,Expenses!$C$2:$C$500,$B26,Expenses!$I$2:$I$500,D$5))</f>
        <v/>
      </c>
      <c r="E26" s="76">
        <f>IF($B26="","",SUMIFS(Expenses!$D$2:$D$500,Expenses!$C$2:$C$500,$B26,Expenses!$I$2:$I$500,E$5))</f>
        <v/>
      </c>
      <c r="F26" s="76">
        <f>IF($B26="","",SUMIFS(Expenses!$D$2:$D$500,Expenses!$C$2:$C$500,$B26,Expenses!$I$2:$I$500,F$5))</f>
        <v/>
      </c>
      <c r="G26" s="76">
        <f>IF($B26="","",SUMIFS(Expenses!$D$2:$D$500,Expenses!$C$2:$C$500,$B26,Expenses!$I$2:$I$500,G$5))</f>
        <v/>
      </c>
      <c r="H26" s="76">
        <f>IF($B26="","",SUMIFS(Expenses!$D$2:$D$500,Expenses!$C$2:$C$500,$B26,Expenses!$I$2:$I$500,H$5))</f>
        <v/>
      </c>
      <c r="I26" s="76">
        <f>IF($B26="","",SUMIFS(Expenses!$D$2:$D$500,Expenses!$C$2:$C$500,$B26,Expenses!$I$2:$I$500,I$5))</f>
        <v/>
      </c>
      <c r="J26" s="76">
        <f>IF($B26="","",SUMIFS(Expenses!$D$2:$D$500,Expenses!$C$2:$C$500,$B26,Expenses!$I$2:$I$500,J$5))</f>
        <v/>
      </c>
      <c r="K26" s="76">
        <f>IF($B26="","",SUMIFS(Expenses!$D$2:$D$500,Expenses!$C$2:$C$500,$B26,Expenses!$I$2:$I$500,K$5))</f>
        <v/>
      </c>
      <c r="L26" s="76">
        <f>IF($B26="","",SUMIFS(Expenses!$D$2:$D$500,Expenses!$C$2:$C$500,$B26,Expenses!$I$2:$I$500,L$5))</f>
        <v/>
      </c>
      <c r="M26" s="76">
        <f>IF($B26="","",SUMIFS(Expenses!$D$2:$D$500,Expenses!$C$2:$C$500,$B26,Expenses!$I$2:$I$500,M$5))</f>
        <v/>
      </c>
      <c r="N26" s="76">
        <f>IF($B26="","",SUMIFS(Expenses!$D$2:$D$500,Expenses!$C$2:$C$500,$B26,Expenses!$I$2:$I$500,N$5))</f>
        <v/>
      </c>
      <c r="O26" s="62">
        <f>IF($B26="","",SUM(C26:N26))</f>
        <v/>
      </c>
    </row>
    <row r="27" ht="15" customHeight="1" s="43">
      <c r="B27" s="51">
        <f>IF(Settings!B24="","",Settings!B24)</f>
        <v/>
      </c>
      <c r="C27" s="77">
        <f>IF($B27="","",SUMIFS(Expenses!$D$2:$D$500,Expenses!$C$2:$C$500,$B27,Expenses!$I$2:$I$500,C$5))</f>
        <v/>
      </c>
      <c r="D27" s="77">
        <f>IF($B27="","",SUMIFS(Expenses!$D$2:$D$500,Expenses!$C$2:$C$500,$B27,Expenses!$I$2:$I$500,D$5))</f>
        <v/>
      </c>
      <c r="E27" s="77">
        <f>IF($B27="","",SUMIFS(Expenses!$D$2:$D$500,Expenses!$C$2:$C$500,$B27,Expenses!$I$2:$I$500,E$5))</f>
        <v/>
      </c>
      <c r="F27" s="77">
        <f>IF($B27="","",SUMIFS(Expenses!$D$2:$D$500,Expenses!$C$2:$C$500,$B27,Expenses!$I$2:$I$500,F$5))</f>
        <v/>
      </c>
      <c r="G27" s="77">
        <f>IF($B27="","",SUMIFS(Expenses!$D$2:$D$500,Expenses!$C$2:$C$500,$B27,Expenses!$I$2:$I$500,G$5))</f>
        <v/>
      </c>
      <c r="H27" s="77">
        <f>IF($B27="","",SUMIFS(Expenses!$D$2:$D$500,Expenses!$C$2:$C$500,$B27,Expenses!$I$2:$I$500,H$5))</f>
        <v/>
      </c>
      <c r="I27" s="77">
        <f>IF($B27="","",SUMIFS(Expenses!$D$2:$D$500,Expenses!$C$2:$C$500,$B27,Expenses!$I$2:$I$500,I$5))</f>
        <v/>
      </c>
      <c r="J27" s="77">
        <f>IF($B27="","",SUMIFS(Expenses!$D$2:$D$500,Expenses!$C$2:$C$500,$B27,Expenses!$I$2:$I$500,J$5))</f>
        <v/>
      </c>
      <c r="K27" s="77">
        <f>IF($B27="","",SUMIFS(Expenses!$D$2:$D$500,Expenses!$C$2:$C$500,$B27,Expenses!$I$2:$I$500,K$5))</f>
        <v/>
      </c>
      <c r="L27" s="77">
        <f>IF($B27="","",SUMIFS(Expenses!$D$2:$D$500,Expenses!$C$2:$C$500,$B27,Expenses!$I$2:$I$500,L$5))</f>
        <v/>
      </c>
      <c r="M27" s="77">
        <f>IF($B27="","",SUMIFS(Expenses!$D$2:$D$500,Expenses!$C$2:$C$500,$B27,Expenses!$I$2:$I$500,M$5))</f>
        <v/>
      </c>
      <c r="N27" s="77">
        <f>IF($B27="","",SUMIFS(Expenses!$D$2:$D$500,Expenses!$C$2:$C$500,$B27,Expenses!$I$2:$I$500,N$5))</f>
        <v/>
      </c>
      <c r="O27" s="64">
        <f>IF($B27="","",SUM(C27:N27))</f>
        <v/>
      </c>
    </row>
    <row r="28" ht="15" customHeight="1" s="43">
      <c r="B28" s="61">
        <f>IF(Settings!B25="","",Settings!B25)</f>
        <v/>
      </c>
      <c r="C28" s="76">
        <f>IF($B28="","",SUMIFS(Expenses!$D$2:$D$500,Expenses!$C$2:$C$500,$B28,Expenses!$I$2:$I$500,C$5))</f>
        <v/>
      </c>
      <c r="D28" s="76">
        <f>IF($B28="","",SUMIFS(Expenses!$D$2:$D$500,Expenses!$C$2:$C$500,$B28,Expenses!$I$2:$I$500,D$5))</f>
        <v/>
      </c>
      <c r="E28" s="76">
        <f>IF($B28="","",SUMIFS(Expenses!$D$2:$D$500,Expenses!$C$2:$C$500,$B28,Expenses!$I$2:$I$500,E$5))</f>
        <v/>
      </c>
      <c r="F28" s="76">
        <f>IF($B28="","",SUMIFS(Expenses!$D$2:$D$500,Expenses!$C$2:$C$500,$B28,Expenses!$I$2:$I$500,F$5))</f>
        <v/>
      </c>
      <c r="G28" s="76">
        <f>IF($B28="","",SUMIFS(Expenses!$D$2:$D$500,Expenses!$C$2:$C$500,$B28,Expenses!$I$2:$I$500,G$5))</f>
        <v/>
      </c>
      <c r="H28" s="76">
        <f>IF($B28="","",SUMIFS(Expenses!$D$2:$D$500,Expenses!$C$2:$C$500,$B28,Expenses!$I$2:$I$500,H$5))</f>
        <v/>
      </c>
      <c r="I28" s="76">
        <f>IF($B28="","",SUMIFS(Expenses!$D$2:$D$500,Expenses!$C$2:$C$500,$B28,Expenses!$I$2:$I$500,I$5))</f>
        <v/>
      </c>
      <c r="J28" s="76">
        <f>IF($B28="","",SUMIFS(Expenses!$D$2:$D$500,Expenses!$C$2:$C$500,$B28,Expenses!$I$2:$I$500,J$5))</f>
        <v/>
      </c>
      <c r="K28" s="76">
        <f>IF($B28="","",SUMIFS(Expenses!$D$2:$D$500,Expenses!$C$2:$C$500,$B28,Expenses!$I$2:$I$500,K$5))</f>
        <v/>
      </c>
      <c r="L28" s="76">
        <f>IF($B28="","",SUMIFS(Expenses!$D$2:$D$500,Expenses!$C$2:$C$500,$B28,Expenses!$I$2:$I$500,L$5))</f>
        <v/>
      </c>
      <c r="M28" s="76">
        <f>IF($B28="","",SUMIFS(Expenses!$D$2:$D$500,Expenses!$C$2:$C$500,$B28,Expenses!$I$2:$I$500,M$5))</f>
        <v/>
      </c>
      <c r="N28" s="76">
        <f>IF($B28="","",SUMIFS(Expenses!$D$2:$D$500,Expenses!$C$2:$C$500,$B28,Expenses!$I$2:$I$500,N$5))</f>
        <v/>
      </c>
      <c r="O28" s="62">
        <f>IF($B28="","",SUM(C28:N28))</f>
        <v/>
      </c>
    </row>
    <row r="29" ht="15" customHeight="1" s="43">
      <c r="B29" s="51">
        <f>IF(Settings!B26="","",Settings!B26)</f>
        <v/>
      </c>
      <c r="C29" s="77">
        <f>IF($B29="","",SUMIFS(Expenses!$D$2:$D$500,Expenses!$C$2:$C$500,$B29,Expenses!$I$2:$I$500,C$5))</f>
        <v/>
      </c>
      <c r="D29" s="77">
        <f>IF($B29="","",SUMIFS(Expenses!$D$2:$D$500,Expenses!$C$2:$C$500,$B29,Expenses!$I$2:$I$500,D$5))</f>
        <v/>
      </c>
      <c r="E29" s="77">
        <f>IF($B29="","",SUMIFS(Expenses!$D$2:$D$500,Expenses!$C$2:$C$500,$B29,Expenses!$I$2:$I$500,E$5))</f>
        <v/>
      </c>
      <c r="F29" s="77">
        <f>IF($B29="","",SUMIFS(Expenses!$D$2:$D$500,Expenses!$C$2:$C$500,$B29,Expenses!$I$2:$I$500,F$5))</f>
        <v/>
      </c>
      <c r="G29" s="77">
        <f>IF($B29="","",SUMIFS(Expenses!$D$2:$D$500,Expenses!$C$2:$C$500,$B29,Expenses!$I$2:$I$500,G$5))</f>
        <v/>
      </c>
      <c r="H29" s="77">
        <f>IF($B29="","",SUMIFS(Expenses!$D$2:$D$500,Expenses!$C$2:$C$500,$B29,Expenses!$I$2:$I$500,H$5))</f>
        <v/>
      </c>
      <c r="I29" s="77">
        <f>IF($B29="","",SUMIFS(Expenses!$D$2:$D$500,Expenses!$C$2:$C$500,$B29,Expenses!$I$2:$I$500,I$5))</f>
        <v/>
      </c>
      <c r="J29" s="77">
        <f>IF($B29="","",SUMIFS(Expenses!$D$2:$D$500,Expenses!$C$2:$C$500,$B29,Expenses!$I$2:$I$500,J$5))</f>
        <v/>
      </c>
      <c r="K29" s="77">
        <f>IF($B29="","",SUMIFS(Expenses!$D$2:$D$500,Expenses!$C$2:$C$500,$B29,Expenses!$I$2:$I$500,K$5))</f>
        <v/>
      </c>
      <c r="L29" s="77">
        <f>IF($B29="","",SUMIFS(Expenses!$D$2:$D$500,Expenses!$C$2:$C$500,$B29,Expenses!$I$2:$I$500,L$5))</f>
        <v/>
      </c>
      <c r="M29" s="77">
        <f>IF($B29="","",SUMIFS(Expenses!$D$2:$D$500,Expenses!$C$2:$C$500,$B29,Expenses!$I$2:$I$500,M$5))</f>
        <v/>
      </c>
      <c r="N29" s="77">
        <f>IF($B29="","",SUMIFS(Expenses!$D$2:$D$500,Expenses!$C$2:$C$500,$B29,Expenses!$I$2:$I$500,N$5))</f>
        <v/>
      </c>
      <c r="O29" s="64">
        <f>IF($B29="","",SUM(C29:N29))</f>
        <v/>
      </c>
    </row>
    <row r="30" ht="15" customHeight="1" s="43">
      <c r="B30" s="61">
        <f>IF(Settings!B27="","",Settings!B27)</f>
        <v/>
      </c>
      <c r="C30" s="76">
        <f>IF($B30="","",SUMIFS(Expenses!$D$2:$D$500,Expenses!$C$2:$C$500,$B30,Expenses!$I$2:$I$500,C$5))</f>
        <v/>
      </c>
      <c r="D30" s="76">
        <f>IF($B30="","",SUMIFS(Expenses!$D$2:$D$500,Expenses!$C$2:$C$500,$B30,Expenses!$I$2:$I$500,D$5))</f>
        <v/>
      </c>
      <c r="E30" s="76">
        <f>IF($B30="","",SUMIFS(Expenses!$D$2:$D$500,Expenses!$C$2:$C$500,$B30,Expenses!$I$2:$I$500,E$5))</f>
        <v/>
      </c>
      <c r="F30" s="76">
        <f>IF($B30="","",SUMIFS(Expenses!$D$2:$D$500,Expenses!$C$2:$C$500,$B30,Expenses!$I$2:$I$500,F$5))</f>
        <v/>
      </c>
      <c r="G30" s="76">
        <f>IF($B30="","",SUMIFS(Expenses!$D$2:$D$500,Expenses!$C$2:$C$500,$B30,Expenses!$I$2:$I$500,G$5))</f>
        <v/>
      </c>
      <c r="H30" s="76">
        <f>IF($B30="","",SUMIFS(Expenses!$D$2:$D$500,Expenses!$C$2:$C$500,$B30,Expenses!$I$2:$I$500,H$5))</f>
        <v/>
      </c>
      <c r="I30" s="76">
        <f>IF($B30="","",SUMIFS(Expenses!$D$2:$D$500,Expenses!$C$2:$C$500,$B30,Expenses!$I$2:$I$500,I$5))</f>
        <v/>
      </c>
      <c r="J30" s="76">
        <f>IF($B30="","",SUMIFS(Expenses!$D$2:$D$500,Expenses!$C$2:$C$500,$B30,Expenses!$I$2:$I$500,J$5))</f>
        <v/>
      </c>
      <c r="K30" s="76">
        <f>IF($B30="","",SUMIFS(Expenses!$D$2:$D$500,Expenses!$C$2:$C$500,$B30,Expenses!$I$2:$I$500,K$5))</f>
        <v/>
      </c>
      <c r="L30" s="76">
        <f>IF($B30="","",SUMIFS(Expenses!$D$2:$D$500,Expenses!$C$2:$C$500,$B30,Expenses!$I$2:$I$500,L$5))</f>
        <v/>
      </c>
      <c r="M30" s="76">
        <f>IF($B30="","",SUMIFS(Expenses!$D$2:$D$500,Expenses!$C$2:$C$500,$B30,Expenses!$I$2:$I$500,M$5))</f>
        <v/>
      </c>
      <c r="N30" s="76">
        <f>IF($B30="","",SUMIFS(Expenses!$D$2:$D$500,Expenses!$C$2:$C$500,$B30,Expenses!$I$2:$I$500,N$5))</f>
        <v/>
      </c>
      <c r="O30" s="62">
        <f>IF($B30="","",SUM(C30:N30))</f>
        <v/>
      </c>
    </row>
    <row r="31" ht="15" customHeight="1" s="43">
      <c r="B31" s="51">
        <f>IF(Settings!B28="","",Settings!B28)</f>
        <v/>
      </c>
      <c r="C31" s="77">
        <f>IF($B31="","",SUMIFS(Expenses!$D$2:$D$500,Expenses!$C$2:$C$500,$B31,Expenses!$I$2:$I$500,C$5))</f>
        <v/>
      </c>
      <c r="D31" s="77">
        <f>IF($B31="","",SUMIFS(Expenses!$D$2:$D$500,Expenses!$C$2:$C$500,$B31,Expenses!$I$2:$I$500,D$5))</f>
        <v/>
      </c>
      <c r="E31" s="77">
        <f>IF($B31="","",SUMIFS(Expenses!$D$2:$D$500,Expenses!$C$2:$C$500,$B31,Expenses!$I$2:$I$500,E$5))</f>
        <v/>
      </c>
      <c r="F31" s="77">
        <f>IF($B31="","",SUMIFS(Expenses!$D$2:$D$500,Expenses!$C$2:$C$500,$B31,Expenses!$I$2:$I$500,F$5))</f>
        <v/>
      </c>
      <c r="G31" s="77">
        <f>IF($B31="","",SUMIFS(Expenses!$D$2:$D$500,Expenses!$C$2:$C$500,$B31,Expenses!$I$2:$I$500,G$5))</f>
        <v/>
      </c>
      <c r="H31" s="77">
        <f>IF($B31="","",SUMIFS(Expenses!$D$2:$D$500,Expenses!$C$2:$C$500,$B31,Expenses!$I$2:$I$500,H$5))</f>
        <v/>
      </c>
      <c r="I31" s="77">
        <f>IF($B31="","",SUMIFS(Expenses!$D$2:$D$500,Expenses!$C$2:$C$500,$B31,Expenses!$I$2:$I$500,I$5))</f>
        <v/>
      </c>
      <c r="J31" s="77">
        <f>IF($B31="","",SUMIFS(Expenses!$D$2:$D$500,Expenses!$C$2:$C$500,$B31,Expenses!$I$2:$I$500,J$5))</f>
        <v/>
      </c>
      <c r="K31" s="77">
        <f>IF($B31="","",SUMIFS(Expenses!$D$2:$D$500,Expenses!$C$2:$C$500,$B31,Expenses!$I$2:$I$500,K$5))</f>
        <v/>
      </c>
      <c r="L31" s="77">
        <f>IF($B31="","",SUMIFS(Expenses!$D$2:$D$500,Expenses!$C$2:$C$500,$B31,Expenses!$I$2:$I$500,L$5))</f>
        <v/>
      </c>
      <c r="M31" s="77">
        <f>IF($B31="","",SUMIFS(Expenses!$D$2:$D$500,Expenses!$C$2:$C$500,$B31,Expenses!$I$2:$I$500,M$5))</f>
        <v/>
      </c>
      <c r="N31" s="77">
        <f>IF($B31="","",SUMIFS(Expenses!$D$2:$D$500,Expenses!$C$2:$C$500,$B31,Expenses!$I$2:$I$500,N$5))</f>
        <v/>
      </c>
      <c r="O31" s="64">
        <f>IF($B31="","",SUM(C31:N31))</f>
        <v/>
      </c>
    </row>
    <row r="32" ht="15" customHeight="1" s="43">
      <c r="B32" s="61">
        <f>IF(Settings!B29="","",Settings!B29)</f>
        <v/>
      </c>
      <c r="C32" s="76">
        <f>IF($B32="","",SUMIFS(Expenses!$D$2:$D$500,Expenses!$C$2:$C$500,$B32,Expenses!$I$2:$I$500,C$5))</f>
        <v/>
      </c>
      <c r="D32" s="76">
        <f>IF($B32="","",SUMIFS(Expenses!$D$2:$D$500,Expenses!$C$2:$C$500,$B32,Expenses!$I$2:$I$500,D$5))</f>
        <v/>
      </c>
      <c r="E32" s="76">
        <f>IF($B32="","",SUMIFS(Expenses!$D$2:$D$500,Expenses!$C$2:$C$500,$B32,Expenses!$I$2:$I$500,E$5))</f>
        <v/>
      </c>
      <c r="F32" s="76">
        <f>IF($B32="","",SUMIFS(Expenses!$D$2:$D$500,Expenses!$C$2:$C$500,$B32,Expenses!$I$2:$I$500,F$5))</f>
        <v/>
      </c>
      <c r="G32" s="76">
        <f>IF($B32="","",SUMIFS(Expenses!$D$2:$D$500,Expenses!$C$2:$C$500,$B32,Expenses!$I$2:$I$500,G$5))</f>
        <v/>
      </c>
      <c r="H32" s="76">
        <f>IF($B32="","",SUMIFS(Expenses!$D$2:$D$500,Expenses!$C$2:$C$500,$B32,Expenses!$I$2:$I$500,H$5))</f>
        <v/>
      </c>
      <c r="I32" s="76">
        <f>IF($B32="","",SUMIFS(Expenses!$D$2:$D$500,Expenses!$C$2:$C$500,$B32,Expenses!$I$2:$I$500,I$5))</f>
        <v/>
      </c>
      <c r="J32" s="76">
        <f>IF($B32="","",SUMIFS(Expenses!$D$2:$D$500,Expenses!$C$2:$C$500,$B32,Expenses!$I$2:$I$500,J$5))</f>
        <v/>
      </c>
      <c r="K32" s="76">
        <f>IF($B32="","",SUMIFS(Expenses!$D$2:$D$500,Expenses!$C$2:$C$500,$B32,Expenses!$I$2:$I$500,K$5))</f>
        <v/>
      </c>
      <c r="L32" s="76">
        <f>IF($B32="","",SUMIFS(Expenses!$D$2:$D$500,Expenses!$C$2:$C$500,$B32,Expenses!$I$2:$I$500,L$5))</f>
        <v/>
      </c>
      <c r="M32" s="76">
        <f>IF($B32="","",SUMIFS(Expenses!$D$2:$D$500,Expenses!$C$2:$C$500,$B32,Expenses!$I$2:$I$500,M$5))</f>
        <v/>
      </c>
      <c r="N32" s="76">
        <f>IF($B32="","",SUMIFS(Expenses!$D$2:$D$500,Expenses!$C$2:$C$500,$B32,Expenses!$I$2:$I$500,N$5))</f>
        <v/>
      </c>
      <c r="O32" s="62">
        <f>IF($B32="","",SUM(C32:N32))</f>
        <v/>
      </c>
    </row>
    <row r="33" ht="15" customHeight="1" s="43">
      <c r="B33" s="51">
        <f>IF(Settings!B30="","",Settings!B30)</f>
        <v/>
      </c>
      <c r="C33" s="77">
        <f>IF($B33="","",SUMIFS(Expenses!$D$2:$D$500,Expenses!$C$2:$C$500,$B33,Expenses!$I$2:$I$500,C$5))</f>
        <v/>
      </c>
      <c r="D33" s="77">
        <f>IF($B33="","",SUMIFS(Expenses!$D$2:$D$500,Expenses!$C$2:$C$500,$B33,Expenses!$I$2:$I$500,D$5))</f>
        <v/>
      </c>
      <c r="E33" s="77">
        <f>IF($B33="","",SUMIFS(Expenses!$D$2:$D$500,Expenses!$C$2:$C$500,$B33,Expenses!$I$2:$I$500,E$5))</f>
        <v/>
      </c>
      <c r="F33" s="77">
        <f>IF($B33="","",SUMIFS(Expenses!$D$2:$D$500,Expenses!$C$2:$C$500,$B33,Expenses!$I$2:$I$500,F$5))</f>
        <v/>
      </c>
      <c r="G33" s="77">
        <f>IF($B33="","",SUMIFS(Expenses!$D$2:$D$500,Expenses!$C$2:$C$500,$B33,Expenses!$I$2:$I$500,G$5))</f>
        <v/>
      </c>
      <c r="H33" s="77">
        <f>IF($B33="","",SUMIFS(Expenses!$D$2:$D$500,Expenses!$C$2:$C$500,$B33,Expenses!$I$2:$I$500,H$5))</f>
        <v/>
      </c>
      <c r="I33" s="77">
        <f>IF($B33="","",SUMIFS(Expenses!$D$2:$D$500,Expenses!$C$2:$C$500,$B33,Expenses!$I$2:$I$500,I$5))</f>
        <v/>
      </c>
      <c r="J33" s="77">
        <f>IF($B33="","",SUMIFS(Expenses!$D$2:$D$500,Expenses!$C$2:$C$500,$B33,Expenses!$I$2:$I$500,J$5))</f>
        <v/>
      </c>
      <c r="K33" s="77">
        <f>IF($B33="","",SUMIFS(Expenses!$D$2:$D$500,Expenses!$C$2:$C$500,$B33,Expenses!$I$2:$I$500,K$5))</f>
        <v/>
      </c>
      <c r="L33" s="77">
        <f>IF($B33="","",SUMIFS(Expenses!$D$2:$D$500,Expenses!$C$2:$C$500,$B33,Expenses!$I$2:$I$500,L$5))</f>
        <v/>
      </c>
      <c r="M33" s="77">
        <f>IF($B33="","",SUMIFS(Expenses!$D$2:$D$500,Expenses!$C$2:$C$500,$B33,Expenses!$I$2:$I$500,M$5))</f>
        <v/>
      </c>
      <c r="N33" s="77">
        <f>IF($B33="","",SUMIFS(Expenses!$D$2:$D$500,Expenses!$C$2:$C$500,$B33,Expenses!$I$2:$I$500,N$5))</f>
        <v/>
      </c>
      <c r="O33" s="64">
        <f>IF($B33="","",SUM(C33:N33))</f>
        <v/>
      </c>
    </row>
    <row r="34" ht="15" customHeight="1" s="43">
      <c r="B34" s="61">
        <f>IF(Settings!B31="","",Settings!B31)</f>
        <v/>
      </c>
      <c r="C34" s="76">
        <f>IF($B34="","",SUMIFS(Expenses!$D$2:$D$500,Expenses!$C$2:$C$500,$B34,Expenses!$I$2:$I$500,C$5))</f>
        <v/>
      </c>
      <c r="D34" s="76">
        <f>IF($B34="","",SUMIFS(Expenses!$D$2:$D$500,Expenses!$C$2:$C$500,$B34,Expenses!$I$2:$I$500,D$5))</f>
        <v/>
      </c>
      <c r="E34" s="76">
        <f>IF($B34="","",SUMIFS(Expenses!$D$2:$D$500,Expenses!$C$2:$C$500,$B34,Expenses!$I$2:$I$500,E$5))</f>
        <v/>
      </c>
      <c r="F34" s="76">
        <f>IF($B34="","",SUMIFS(Expenses!$D$2:$D$500,Expenses!$C$2:$C$500,$B34,Expenses!$I$2:$I$500,F$5))</f>
        <v/>
      </c>
      <c r="G34" s="76">
        <f>IF($B34="","",SUMIFS(Expenses!$D$2:$D$500,Expenses!$C$2:$C$500,$B34,Expenses!$I$2:$I$500,G$5))</f>
        <v/>
      </c>
      <c r="H34" s="76">
        <f>IF($B34="","",SUMIFS(Expenses!$D$2:$D$500,Expenses!$C$2:$C$500,$B34,Expenses!$I$2:$I$500,H$5))</f>
        <v/>
      </c>
      <c r="I34" s="76">
        <f>IF($B34="","",SUMIFS(Expenses!$D$2:$D$500,Expenses!$C$2:$C$500,$B34,Expenses!$I$2:$I$500,I$5))</f>
        <v/>
      </c>
      <c r="J34" s="76">
        <f>IF($B34="","",SUMIFS(Expenses!$D$2:$D$500,Expenses!$C$2:$C$500,$B34,Expenses!$I$2:$I$500,J$5))</f>
        <v/>
      </c>
      <c r="K34" s="76">
        <f>IF($B34="","",SUMIFS(Expenses!$D$2:$D$500,Expenses!$C$2:$C$500,$B34,Expenses!$I$2:$I$500,K$5))</f>
        <v/>
      </c>
      <c r="L34" s="76">
        <f>IF($B34="","",SUMIFS(Expenses!$D$2:$D$500,Expenses!$C$2:$C$500,$B34,Expenses!$I$2:$I$500,L$5))</f>
        <v/>
      </c>
      <c r="M34" s="76">
        <f>IF($B34="","",SUMIFS(Expenses!$D$2:$D$500,Expenses!$C$2:$C$500,$B34,Expenses!$I$2:$I$500,M$5))</f>
        <v/>
      </c>
      <c r="N34" s="76">
        <f>IF($B34="","",SUMIFS(Expenses!$D$2:$D$500,Expenses!$C$2:$C$500,$B34,Expenses!$I$2:$I$500,N$5))</f>
        <v/>
      </c>
      <c r="O34" s="62">
        <f>IF($B34="","",SUM(C34:N34))</f>
        <v/>
      </c>
    </row>
    <row r="35" ht="15" customHeight="1" s="43">
      <c r="B35" s="51">
        <f>IF(Settings!B32="","",Settings!B32)</f>
        <v/>
      </c>
      <c r="C35" s="77">
        <f>IF($B35="","",SUMIFS(Expenses!$D$2:$D$500,Expenses!$C$2:$C$500,$B35,Expenses!$I$2:$I$500,C$5))</f>
        <v/>
      </c>
      <c r="D35" s="77">
        <f>IF($B35="","",SUMIFS(Expenses!$D$2:$D$500,Expenses!$C$2:$C$500,$B35,Expenses!$I$2:$I$500,D$5))</f>
        <v/>
      </c>
      <c r="E35" s="77">
        <f>IF($B35="","",SUMIFS(Expenses!$D$2:$D$500,Expenses!$C$2:$C$500,$B35,Expenses!$I$2:$I$500,E$5))</f>
        <v/>
      </c>
      <c r="F35" s="77">
        <f>IF($B35="","",SUMIFS(Expenses!$D$2:$D$500,Expenses!$C$2:$C$500,$B35,Expenses!$I$2:$I$500,F$5))</f>
        <v/>
      </c>
      <c r="G35" s="77">
        <f>IF($B35="","",SUMIFS(Expenses!$D$2:$D$500,Expenses!$C$2:$C$500,$B35,Expenses!$I$2:$I$500,G$5))</f>
        <v/>
      </c>
      <c r="H35" s="77">
        <f>IF($B35="","",SUMIFS(Expenses!$D$2:$D$500,Expenses!$C$2:$C$500,$B35,Expenses!$I$2:$I$500,H$5))</f>
        <v/>
      </c>
      <c r="I35" s="77">
        <f>IF($B35="","",SUMIFS(Expenses!$D$2:$D$500,Expenses!$C$2:$C$500,$B35,Expenses!$I$2:$I$500,I$5))</f>
        <v/>
      </c>
      <c r="J35" s="77">
        <f>IF($B35="","",SUMIFS(Expenses!$D$2:$D$500,Expenses!$C$2:$C$500,$B35,Expenses!$I$2:$I$500,J$5))</f>
        <v/>
      </c>
      <c r="K35" s="77">
        <f>IF($B35="","",SUMIFS(Expenses!$D$2:$D$500,Expenses!$C$2:$C$500,$B35,Expenses!$I$2:$I$500,K$5))</f>
        <v/>
      </c>
      <c r="L35" s="77">
        <f>IF($B35="","",SUMIFS(Expenses!$D$2:$D$500,Expenses!$C$2:$C$500,$B35,Expenses!$I$2:$I$500,L$5))</f>
        <v/>
      </c>
      <c r="M35" s="77">
        <f>IF($B35="","",SUMIFS(Expenses!$D$2:$D$500,Expenses!$C$2:$C$500,$B35,Expenses!$I$2:$I$500,M$5))</f>
        <v/>
      </c>
      <c r="N35" s="77">
        <f>IF($B35="","",SUMIFS(Expenses!$D$2:$D$500,Expenses!$C$2:$C$500,$B35,Expenses!$I$2:$I$500,N$5))</f>
        <v/>
      </c>
      <c r="O35" s="64">
        <f>IF($B35="","",SUM(C35:N35))</f>
        <v/>
      </c>
    </row>
    <row r="36" ht="15" customHeight="1" s="43">
      <c r="B36" s="61">
        <f>IF(Settings!B33="","",Settings!B33)</f>
        <v/>
      </c>
      <c r="C36" s="76">
        <f>IF($B36="","",SUMIFS(Expenses!$D$2:$D$500,Expenses!$C$2:$C$500,$B36,Expenses!$I$2:$I$500,C$5))</f>
        <v/>
      </c>
      <c r="D36" s="76">
        <f>IF($B36="","",SUMIFS(Expenses!$D$2:$D$500,Expenses!$C$2:$C$500,$B36,Expenses!$I$2:$I$500,D$5))</f>
        <v/>
      </c>
      <c r="E36" s="76">
        <f>IF($B36="","",SUMIFS(Expenses!$D$2:$D$500,Expenses!$C$2:$C$500,$B36,Expenses!$I$2:$I$500,E$5))</f>
        <v/>
      </c>
      <c r="F36" s="76">
        <f>IF($B36="","",SUMIFS(Expenses!$D$2:$D$500,Expenses!$C$2:$C$500,$B36,Expenses!$I$2:$I$500,F$5))</f>
        <v/>
      </c>
      <c r="G36" s="76">
        <f>IF($B36="","",SUMIFS(Expenses!$D$2:$D$500,Expenses!$C$2:$C$500,$B36,Expenses!$I$2:$I$500,G$5))</f>
        <v/>
      </c>
      <c r="H36" s="76">
        <f>IF($B36="","",SUMIFS(Expenses!$D$2:$D$500,Expenses!$C$2:$C$500,$B36,Expenses!$I$2:$I$500,H$5))</f>
        <v/>
      </c>
      <c r="I36" s="76">
        <f>IF($B36="","",SUMIFS(Expenses!$D$2:$D$500,Expenses!$C$2:$C$500,$B36,Expenses!$I$2:$I$500,I$5))</f>
        <v/>
      </c>
      <c r="J36" s="76">
        <f>IF($B36="","",SUMIFS(Expenses!$D$2:$D$500,Expenses!$C$2:$C$500,$B36,Expenses!$I$2:$I$500,J$5))</f>
        <v/>
      </c>
      <c r="K36" s="76">
        <f>IF($B36="","",SUMIFS(Expenses!$D$2:$D$500,Expenses!$C$2:$C$500,$B36,Expenses!$I$2:$I$500,K$5))</f>
        <v/>
      </c>
      <c r="L36" s="76">
        <f>IF($B36="","",SUMIFS(Expenses!$D$2:$D$500,Expenses!$C$2:$C$500,$B36,Expenses!$I$2:$I$500,L$5))</f>
        <v/>
      </c>
      <c r="M36" s="76">
        <f>IF($B36="","",SUMIFS(Expenses!$D$2:$D$500,Expenses!$C$2:$C$500,$B36,Expenses!$I$2:$I$500,M$5))</f>
        <v/>
      </c>
      <c r="N36" s="76">
        <f>IF($B36="","",SUMIFS(Expenses!$D$2:$D$500,Expenses!$C$2:$C$500,$B36,Expenses!$I$2:$I$500,N$5))</f>
        <v/>
      </c>
      <c r="O36" s="62">
        <f>IF($B36="","",SUM(C36:N36))</f>
        <v/>
      </c>
    </row>
    <row r="37" ht="15" customHeight="1" s="43">
      <c r="B37" s="51">
        <f>IF(Settings!B34="","",Settings!B34)</f>
        <v/>
      </c>
      <c r="C37" s="77">
        <f>IF($B37="","",SUMIFS(Expenses!$D$2:$D$500,Expenses!$C$2:$C$500,$B37,Expenses!$I$2:$I$500,C$5))</f>
        <v/>
      </c>
      <c r="D37" s="77">
        <f>IF($B37="","",SUMIFS(Expenses!$D$2:$D$500,Expenses!$C$2:$C$500,$B37,Expenses!$I$2:$I$500,D$5))</f>
        <v/>
      </c>
      <c r="E37" s="77">
        <f>IF($B37="","",SUMIFS(Expenses!$D$2:$D$500,Expenses!$C$2:$C$500,$B37,Expenses!$I$2:$I$500,E$5))</f>
        <v/>
      </c>
      <c r="F37" s="77">
        <f>IF($B37="","",SUMIFS(Expenses!$D$2:$D$500,Expenses!$C$2:$C$500,$B37,Expenses!$I$2:$I$500,F$5))</f>
        <v/>
      </c>
      <c r="G37" s="77">
        <f>IF($B37="","",SUMIFS(Expenses!$D$2:$D$500,Expenses!$C$2:$C$500,$B37,Expenses!$I$2:$I$500,G$5))</f>
        <v/>
      </c>
      <c r="H37" s="77">
        <f>IF($B37="","",SUMIFS(Expenses!$D$2:$D$500,Expenses!$C$2:$C$500,$B37,Expenses!$I$2:$I$500,H$5))</f>
        <v/>
      </c>
      <c r="I37" s="77">
        <f>IF($B37="","",SUMIFS(Expenses!$D$2:$D$500,Expenses!$C$2:$C$500,$B37,Expenses!$I$2:$I$500,I$5))</f>
        <v/>
      </c>
      <c r="J37" s="77">
        <f>IF($B37="","",SUMIFS(Expenses!$D$2:$D$500,Expenses!$C$2:$C$500,$B37,Expenses!$I$2:$I$500,J$5))</f>
        <v/>
      </c>
      <c r="K37" s="77">
        <f>IF($B37="","",SUMIFS(Expenses!$D$2:$D$500,Expenses!$C$2:$C$500,$B37,Expenses!$I$2:$I$500,K$5))</f>
        <v/>
      </c>
      <c r="L37" s="77">
        <f>IF($B37="","",SUMIFS(Expenses!$D$2:$D$500,Expenses!$C$2:$C$500,$B37,Expenses!$I$2:$I$500,L$5))</f>
        <v/>
      </c>
      <c r="M37" s="77">
        <f>IF($B37="","",SUMIFS(Expenses!$D$2:$D$500,Expenses!$C$2:$C$500,$B37,Expenses!$I$2:$I$500,M$5))</f>
        <v/>
      </c>
      <c r="N37" s="77">
        <f>IF($B37="","",SUMIFS(Expenses!$D$2:$D$500,Expenses!$C$2:$C$500,$B37,Expenses!$I$2:$I$500,N$5))</f>
        <v/>
      </c>
      <c r="O37" s="64">
        <f>IF($B37="","",SUM(C37:N37))</f>
        <v/>
      </c>
    </row>
    <row r="38" ht="15" customHeight="1" s="43">
      <c r="B38" s="61">
        <f>IF(Settings!B35="","",Settings!B35)</f>
        <v/>
      </c>
      <c r="C38" s="76">
        <f>IF($B38="","",SUMIFS(Expenses!$D$2:$D$500,Expenses!$C$2:$C$500,$B38,Expenses!$I$2:$I$500,C$5))</f>
        <v/>
      </c>
      <c r="D38" s="76">
        <f>IF($B38="","",SUMIFS(Expenses!$D$2:$D$500,Expenses!$C$2:$C$500,$B38,Expenses!$I$2:$I$500,D$5))</f>
        <v/>
      </c>
      <c r="E38" s="76">
        <f>IF($B38="","",SUMIFS(Expenses!$D$2:$D$500,Expenses!$C$2:$C$500,$B38,Expenses!$I$2:$I$500,E$5))</f>
        <v/>
      </c>
      <c r="F38" s="76">
        <f>IF($B38="","",SUMIFS(Expenses!$D$2:$D$500,Expenses!$C$2:$C$500,$B38,Expenses!$I$2:$I$500,F$5))</f>
        <v/>
      </c>
      <c r="G38" s="76">
        <f>IF($B38="","",SUMIFS(Expenses!$D$2:$D$500,Expenses!$C$2:$C$500,$B38,Expenses!$I$2:$I$500,G$5))</f>
        <v/>
      </c>
      <c r="H38" s="76">
        <f>IF($B38="","",SUMIFS(Expenses!$D$2:$D$500,Expenses!$C$2:$C$500,$B38,Expenses!$I$2:$I$500,H$5))</f>
        <v/>
      </c>
      <c r="I38" s="76">
        <f>IF($B38="","",SUMIFS(Expenses!$D$2:$D$500,Expenses!$C$2:$C$500,$B38,Expenses!$I$2:$I$500,I$5))</f>
        <v/>
      </c>
      <c r="J38" s="76">
        <f>IF($B38="","",SUMIFS(Expenses!$D$2:$D$500,Expenses!$C$2:$C$500,$B38,Expenses!$I$2:$I$500,J$5))</f>
        <v/>
      </c>
      <c r="K38" s="76">
        <f>IF($B38="","",SUMIFS(Expenses!$D$2:$D$500,Expenses!$C$2:$C$500,$B38,Expenses!$I$2:$I$500,K$5))</f>
        <v/>
      </c>
      <c r="L38" s="76">
        <f>IF($B38="","",SUMIFS(Expenses!$D$2:$D$500,Expenses!$C$2:$C$500,$B38,Expenses!$I$2:$I$500,L$5))</f>
        <v/>
      </c>
      <c r="M38" s="76">
        <f>IF($B38="","",SUMIFS(Expenses!$D$2:$D$500,Expenses!$C$2:$C$500,$B38,Expenses!$I$2:$I$500,M$5))</f>
        <v/>
      </c>
      <c r="N38" s="76">
        <f>IF($B38="","",SUMIFS(Expenses!$D$2:$D$500,Expenses!$C$2:$C$500,$B38,Expenses!$I$2:$I$500,N$5))</f>
        <v/>
      </c>
      <c r="O38" s="62">
        <f>IF($B38="","",SUM(C38:N38))</f>
        <v/>
      </c>
    </row>
    <row r="39" ht="15" customHeight="1" s="43">
      <c r="B39" s="51">
        <f>IF(Settings!B36="","",Settings!B36)</f>
        <v/>
      </c>
      <c r="C39" s="77">
        <f>IF($B39="","",SUMIFS(Expenses!$D$2:$D$500,Expenses!$C$2:$C$500,$B39,Expenses!$I$2:$I$500,C$5))</f>
        <v/>
      </c>
      <c r="D39" s="77">
        <f>IF($B39="","",SUMIFS(Expenses!$D$2:$D$500,Expenses!$C$2:$C$500,$B39,Expenses!$I$2:$I$500,D$5))</f>
        <v/>
      </c>
      <c r="E39" s="77">
        <f>IF($B39="","",SUMIFS(Expenses!$D$2:$D$500,Expenses!$C$2:$C$500,$B39,Expenses!$I$2:$I$500,E$5))</f>
        <v/>
      </c>
      <c r="F39" s="77">
        <f>IF($B39="","",SUMIFS(Expenses!$D$2:$D$500,Expenses!$C$2:$C$500,$B39,Expenses!$I$2:$I$500,F$5))</f>
        <v/>
      </c>
      <c r="G39" s="77">
        <f>IF($B39="","",SUMIFS(Expenses!$D$2:$D$500,Expenses!$C$2:$C$500,$B39,Expenses!$I$2:$I$500,G$5))</f>
        <v/>
      </c>
      <c r="H39" s="77">
        <f>IF($B39="","",SUMIFS(Expenses!$D$2:$D$500,Expenses!$C$2:$C$500,$B39,Expenses!$I$2:$I$500,H$5))</f>
        <v/>
      </c>
      <c r="I39" s="77">
        <f>IF($B39="","",SUMIFS(Expenses!$D$2:$D$500,Expenses!$C$2:$C$500,$B39,Expenses!$I$2:$I$500,I$5))</f>
        <v/>
      </c>
      <c r="J39" s="77">
        <f>IF($B39="","",SUMIFS(Expenses!$D$2:$D$500,Expenses!$C$2:$C$500,$B39,Expenses!$I$2:$I$500,J$5))</f>
        <v/>
      </c>
      <c r="K39" s="77">
        <f>IF($B39="","",SUMIFS(Expenses!$D$2:$D$500,Expenses!$C$2:$C$500,$B39,Expenses!$I$2:$I$500,K$5))</f>
        <v/>
      </c>
      <c r="L39" s="77">
        <f>IF($B39="","",SUMIFS(Expenses!$D$2:$D$500,Expenses!$C$2:$C$500,$B39,Expenses!$I$2:$I$500,L$5))</f>
        <v/>
      </c>
      <c r="M39" s="77">
        <f>IF($B39="","",SUMIFS(Expenses!$D$2:$D$500,Expenses!$C$2:$C$500,$B39,Expenses!$I$2:$I$500,M$5))</f>
        <v/>
      </c>
      <c r="N39" s="77">
        <f>IF($B39="","",SUMIFS(Expenses!$D$2:$D$500,Expenses!$C$2:$C$500,$B39,Expenses!$I$2:$I$500,N$5))</f>
        <v/>
      </c>
      <c r="O39" s="64">
        <f>IF($B39="","",SUM(C39:N39))</f>
        <v/>
      </c>
    </row>
    <row r="40" ht="15" customHeight="1" s="43">
      <c r="B40" s="61">
        <f>IF(Settings!B37="","",Settings!B37)</f>
        <v/>
      </c>
      <c r="C40" s="76">
        <f>IF($B40="","",SUMIFS(Expenses!$D$2:$D$500,Expenses!$C$2:$C$500,$B40,Expenses!$I$2:$I$500,C$5))</f>
        <v/>
      </c>
      <c r="D40" s="76">
        <f>IF($B40="","",SUMIFS(Expenses!$D$2:$D$500,Expenses!$C$2:$C$500,$B40,Expenses!$I$2:$I$500,D$5))</f>
        <v/>
      </c>
      <c r="E40" s="76">
        <f>IF($B40="","",SUMIFS(Expenses!$D$2:$D$500,Expenses!$C$2:$C$500,$B40,Expenses!$I$2:$I$500,E$5))</f>
        <v/>
      </c>
      <c r="F40" s="76">
        <f>IF($B40="","",SUMIFS(Expenses!$D$2:$D$500,Expenses!$C$2:$C$500,$B40,Expenses!$I$2:$I$500,F$5))</f>
        <v/>
      </c>
      <c r="G40" s="76">
        <f>IF($B40="","",SUMIFS(Expenses!$D$2:$D$500,Expenses!$C$2:$C$500,$B40,Expenses!$I$2:$I$500,G$5))</f>
        <v/>
      </c>
      <c r="H40" s="76">
        <f>IF($B40="","",SUMIFS(Expenses!$D$2:$D$500,Expenses!$C$2:$C$500,$B40,Expenses!$I$2:$I$500,H$5))</f>
        <v/>
      </c>
      <c r="I40" s="76">
        <f>IF($B40="","",SUMIFS(Expenses!$D$2:$D$500,Expenses!$C$2:$C$500,$B40,Expenses!$I$2:$I$500,I$5))</f>
        <v/>
      </c>
      <c r="J40" s="76">
        <f>IF($B40="","",SUMIFS(Expenses!$D$2:$D$500,Expenses!$C$2:$C$500,$B40,Expenses!$I$2:$I$500,J$5))</f>
        <v/>
      </c>
      <c r="K40" s="76">
        <f>IF($B40="","",SUMIFS(Expenses!$D$2:$D$500,Expenses!$C$2:$C$500,$B40,Expenses!$I$2:$I$500,K$5))</f>
        <v/>
      </c>
      <c r="L40" s="76">
        <f>IF($B40="","",SUMIFS(Expenses!$D$2:$D$500,Expenses!$C$2:$C$500,$B40,Expenses!$I$2:$I$500,L$5))</f>
        <v/>
      </c>
      <c r="M40" s="76">
        <f>IF($B40="","",SUMIFS(Expenses!$D$2:$D$500,Expenses!$C$2:$C$500,$B40,Expenses!$I$2:$I$500,M$5))</f>
        <v/>
      </c>
      <c r="N40" s="76">
        <f>IF($B40="","",SUMIFS(Expenses!$D$2:$D$500,Expenses!$C$2:$C$500,$B40,Expenses!$I$2:$I$500,N$5))</f>
        <v/>
      </c>
      <c r="O40" s="62">
        <f>IF($B40="","",SUM(C40:N40))</f>
        <v/>
      </c>
    </row>
    <row r="41" ht="15" customHeight="1" s="43">
      <c r="B41" s="51">
        <f>IF(Settings!B38="","",Settings!B38)</f>
        <v/>
      </c>
      <c r="C41" s="77">
        <f>IF($B41="","",SUMIFS(Expenses!$D$2:$D$500,Expenses!$C$2:$C$500,$B41,Expenses!$I$2:$I$500,C$5))</f>
        <v/>
      </c>
      <c r="D41" s="77">
        <f>IF($B41="","",SUMIFS(Expenses!$D$2:$D$500,Expenses!$C$2:$C$500,$B41,Expenses!$I$2:$I$500,D$5))</f>
        <v/>
      </c>
      <c r="E41" s="77">
        <f>IF($B41="","",SUMIFS(Expenses!$D$2:$D$500,Expenses!$C$2:$C$500,$B41,Expenses!$I$2:$I$500,E$5))</f>
        <v/>
      </c>
      <c r="F41" s="77">
        <f>IF($B41="","",SUMIFS(Expenses!$D$2:$D$500,Expenses!$C$2:$C$500,$B41,Expenses!$I$2:$I$500,F$5))</f>
        <v/>
      </c>
      <c r="G41" s="77">
        <f>IF($B41="","",SUMIFS(Expenses!$D$2:$D$500,Expenses!$C$2:$C$500,$B41,Expenses!$I$2:$I$500,G$5))</f>
        <v/>
      </c>
      <c r="H41" s="77">
        <f>IF($B41="","",SUMIFS(Expenses!$D$2:$D$500,Expenses!$C$2:$C$500,$B41,Expenses!$I$2:$I$500,H$5))</f>
        <v/>
      </c>
      <c r="I41" s="77">
        <f>IF($B41="","",SUMIFS(Expenses!$D$2:$D$500,Expenses!$C$2:$C$500,$B41,Expenses!$I$2:$I$500,I$5))</f>
        <v/>
      </c>
      <c r="J41" s="77">
        <f>IF($B41="","",SUMIFS(Expenses!$D$2:$D$500,Expenses!$C$2:$C$500,$B41,Expenses!$I$2:$I$500,J$5))</f>
        <v/>
      </c>
      <c r="K41" s="77">
        <f>IF($B41="","",SUMIFS(Expenses!$D$2:$D$500,Expenses!$C$2:$C$500,$B41,Expenses!$I$2:$I$500,K$5))</f>
        <v/>
      </c>
      <c r="L41" s="77">
        <f>IF($B41="","",SUMIFS(Expenses!$D$2:$D$500,Expenses!$C$2:$C$500,$B41,Expenses!$I$2:$I$500,L$5))</f>
        <v/>
      </c>
      <c r="M41" s="77">
        <f>IF($B41="","",SUMIFS(Expenses!$D$2:$D$500,Expenses!$C$2:$C$500,$B41,Expenses!$I$2:$I$500,M$5))</f>
        <v/>
      </c>
      <c r="N41" s="77">
        <f>IF($B41="","",SUMIFS(Expenses!$D$2:$D$500,Expenses!$C$2:$C$500,$B41,Expenses!$I$2:$I$500,N$5))</f>
        <v/>
      </c>
      <c r="O41" s="64">
        <f>IF($B41="","",SUM(C41:N41))</f>
        <v/>
      </c>
    </row>
    <row r="42" ht="15" customHeight="1" s="43">
      <c r="B42" s="61">
        <f>IF(Settings!B39="","",Settings!B39)</f>
        <v/>
      </c>
      <c r="C42" s="76">
        <f>IF($B42="","",SUMIFS(Expenses!$D$2:$D$500,Expenses!$C$2:$C$500,$B42,Expenses!$I$2:$I$500,C$5))</f>
        <v/>
      </c>
      <c r="D42" s="76">
        <f>IF($B42="","",SUMIFS(Expenses!$D$2:$D$500,Expenses!$C$2:$C$500,$B42,Expenses!$I$2:$I$500,D$5))</f>
        <v/>
      </c>
      <c r="E42" s="76">
        <f>IF($B42="","",SUMIFS(Expenses!$D$2:$D$500,Expenses!$C$2:$C$500,$B42,Expenses!$I$2:$I$500,E$5))</f>
        <v/>
      </c>
      <c r="F42" s="76">
        <f>IF($B42="","",SUMIFS(Expenses!$D$2:$D$500,Expenses!$C$2:$C$500,$B42,Expenses!$I$2:$I$500,F$5))</f>
        <v/>
      </c>
      <c r="G42" s="76">
        <f>IF($B42="","",SUMIFS(Expenses!$D$2:$D$500,Expenses!$C$2:$C$500,$B42,Expenses!$I$2:$I$500,G$5))</f>
        <v/>
      </c>
      <c r="H42" s="76">
        <f>IF($B42="","",SUMIFS(Expenses!$D$2:$D$500,Expenses!$C$2:$C$500,$B42,Expenses!$I$2:$I$500,H$5))</f>
        <v/>
      </c>
      <c r="I42" s="76">
        <f>IF($B42="","",SUMIFS(Expenses!$D$2:$D$500,Expenses!$C$2:$C$500,$B42,Expenses!$I$2:$I$500,I$5))</f>
        <v/>
      </c>
      <c r="J42" s="76">
        <f>IF($B42="","",SUMIFS(Expenses!$D$2:$D$500,Expenses!$C$2:$C$500,$B42,Expenses!$I$2:$I$500,J$5))</f>
        <v/>
      </c>
      <c r="K42" s="76">
        <f>IF($B42="","",SUMIFS(Expenses!$D$2:$D$500,Expenses!$C$2:$C$500,$B42,Expenses!$I$2:$I$500,K$5))</f>
        <v/>
      </c>
      <c r="L42" s="76">
        <f>IF($B42="","",SUMIFS(Expenses!$D$2:$D$500,Expenses!$C$2:$C$500,$B42,Expenses!$I$2:$I$500,L$5))</f>
        <v/>
      </c>
      <c r="M42" s="76">
        <f>IF($B42="","",SUMIFS(Expenses!$D$2:$D$500,Expenses!$C$2:$C$500,$B42,Expenses!$I$2:$I$500,M$5))</f>
        <v/>
      </c>
      <c r="N42" s="76">
        <f>IF($B42="","",SUMIFS(Expenses!$D$2:$D$500,Expenses!$C$2:$C$500,$B42,Expenses!$I$2:$I$500,N$5))</f>
        <v/>
      </c>
      <c r="O42" s="62">
        <f>IF($B42="","",SUM(C42:N42))</f>
        <v/>
      </c>
    </row>
    <row r="43" ht="15" customHeight="1" s="43">
      <c r="B43" s="51">
        <f>IF(Settings!B40="","",Settings!B40)</f>
        <v/>
      </c>
      <c r="C43" s="77">
        <f>IF($B43="","",SUMIFS(Expenses!$D$2:$D$500,Expenses!$C$2:$C$500,$B43,Expenses!$I$2:$I$500,C$5))</f>
        <v/>
      </c>
      <c r="D43" s="77">
        <f>IF($B43="","",SUMIFS(Expenses!$D$2:$D$500,Expenses!$C$2:$C$500,$B43,Expenses!$I$2:$I$500,D$5))</f>
        <v/>
      </c>
      <c r="E43" s="77">
        <f>IF($B43="","",SUMIFS(Expenses!$D$2:$D$500,Expenses!$C$2:$C$500,$B43,Expenses!$I$2:$I$500,E$5))</f>
        <v/>
      </c>
      <c r="F43" s="77">
        <f>IF($B43="","",SUMIFS(Expenses!$D$2:$D$500,Expenses!$C$2:$C$500,$B43,Expenses!$I$2:$I$500,F$5))</f>
        <v/>
      </c>
      <c r="G43" s="77">
        <f>IF($B43="","",SUMIFS(Expenses!$D$2:$D$500,Expenses!$C$2:$C$500,$B43,Expenses!$I$2:$I$500,G$5))</f>
        <v/>
      </c>
      <c r="H43" s="77">
        <f>IF($B43="","",SUMIFS(Expenses!$D$2:$D$500,Expenses!$C$2:$C$500,$B43,Expenses!$I$2:$I$500,H$5))</f>
        <v/>
      </c>
      <c r="I43" s="77">
        <f>IF($B43="","",SUMIFS(Expenses!$D$2:$D$500,Expenses!$C$2:$C$500,$B43,Expenses!$I$2:$I$500,I$5))</f>
        <v/>
      </c>
      <c r="J43" s="77">
        <f>IF($B43="","",SUMIFS(Expenses!$D$2:$D$500,Expenses!$C$2:$C$500,$B43,Expenses!$I$2:$I$500,J$5))</f>
        <v/>
      </c>
      <c r="K43" s="77">
        <f>IF($B43="","",SUMIFS(Expenses!$D$2:$D$500,Expenses!$C$2:$C$500,$B43,Expenses!$I$2:$I$500,K$5))</f>
        <v/>
      </c>
      <c r="L43" s="77">
        <f>IF($B43="","",SUMIFS(Expenses!$D$2:$D$500,Expenses!$C$2:$C$500,$B43,Expenses!$I$2:$I$500,L$5))</f>
        <v/>
      </c>
      <c r="M43" s="77">
        <f>IF($B43="","",SUMIFS(Expenses!$D$2:$D$500,Expenses!$C$2:$C$500,$B43,Expenses!$I$2:$I$500,M$5))</f>
        <v/>
      </c>
      <c r="N43" s="77">
        <f>IF($B43="","",SUMIFS(Expenses!$D$2:$D$500,Expenses!$C$2:$C$500,$B43,Expenses!$I$2:$I$500,N$5))</f>
        <v/>
      </c>
      <c r="O43" s="64">
        <f>IF($B43="","",SUM(C43:N43))</f>
        <v/>
      </c>
    </row>
    <row r="44" ht="15" customHeight="1" s="43">
      <c r="B44" s="61">
        <f>IF(Settings!B41="","",Settings!B41)</f>
        <v/>
      </c>
      <c r="C44" s="76">
        <f>IF($B44="","",SUMIFS(Expenses!$D$2:$D$500,Expenses!$C$2:$C$500,$B44,Expenses!$I$2:$I$500,C$5))</f>
        <v/>
      </c>
      <c r="D44" s="76">
        <f>IF($B44="","",SUMIFS(Expenses!$D$2:$D$500,Expenses!$C$2:$C$500,$B44,Expenses!$I$2:$I$500,D$5))</f>
        <v/>
      </c>
      <c r="E44" s="76">
        <f>IF($B44="","",SUMIFS(Expenses!$D$2:$D$500,Expenses!$C$2:$C$500,$B44,Expenses!$I$2:$I$500,E$5))</f>
        <v/>
      </c>
      <c r="F44" s="76">
        <f>IF($B44="","",SUMIFS(Expenses!$D$2:$D$500,Expenses!$C$2:$C$500,$B44,Expenses!$I$2:$I$500,F$5))</f>
        <v/>
      </c>
      <c r="G44" s="76">
        <f>IF($B44="","",SUMIFS(Expenses!$D$2:$D$500,Expenses!$C$2:$C$500,$B44,Expenses!$I$2:$I$500,G$5))</f>
        <v/>
      </c>
      <c r="H44" s="76">
        <f>IF($B44="","",SUMIFS(Expenses!$D$2:$D$500,Expenses!$C$2:$C$500,$B44,Expenses!$I$2:$I$500,H$5))</f>
        <v/>
      </c>
      <c r="I44" s="76">
        <f>IF($B44="","",SUMIFS(Expenses!$D$2:$D$500,Expenses!$C$2:$C$500,$B44,Expenses!$I$2:$I$500,I$5))</f>
        <v/>
      </c>
      <c r="J44" s="76">
        <f>IF($B44="","",SUMIFS(Expenses!$D$2:$D$500,Expenses!$C$2:$C$500,$B44,Expenses!$I$2:$I$500,J$5))</f>
        <v/>
      </c>
      <c r="K44" s="76">
        <f>IF($B44="","",SUMIFS(Expenses!$D$2:$D$500,Expenses!$C$2:$C$500,$B44,Expenses!$I$2:$I$500,K$5))</f>
        <v/>
      </c>
      <c r="L44" s="76">
        <f>IF($B44="","",SUMIFS(Expenses!$D$2:$D$500,Expenses!$C$2:$C$500,$B44,Expenses!$I$2:$I$500,L$5))</f>
        <v/>
      </c>
      <c r="M44" s="76">
        <f>IF($B44="","",SUMIFS(Expenses!$D$2:$D$500,Expenses!$C$2:$C$500,$B44,Expenses!$I$2:$I$500,M$5))</f>
        <v/>
      </c>
      <c r="N44" s="76">
        <f>IF($B44="","",SUMIFS(Expenses!$D$2:$D$500,Expenses!$C$2:$C$500,$B44,Expenses!$I$2:$I$500,N$5))</f>
        <v/>
      </c>
      <c r="O44" s="62">
        <f>IF($B44="","",SUM(C44:N44))</f>
        <v/>
      </c>
    </row>
    <row r="45" ht="15" customHeight="1" s="43">
      <c r="B45" s="51">
        <f>IF(Settings!B42="","",Settings!B42)</f>
        <v/>
      </c>
      <c r="C45" s="77">
        <f>IF($B45="","",SUMIFS(Expenses!$D$2:$D$500,Expenses!$C$2:$C$500,$B45,Expenses!$I$2:$I$500,C$5))</f>
        <v/>
      </c>
      <c r="D45" s="77">
        <f>IF($B45="","",SUMIFS(Expenses!$D$2:$D$500,Expenses!$C$2:$C$500,$B45,Expenses!$I$2:$I$500,D$5))</f>
        <v/>
      </c>
      <c r="E45" s="77">
        <f>IF($B45="","",SUMIFS(Expenses!$D$2:$D$500,Expenses!$C$2:$C$500,$B45,Expenses!$I$2:$I$500,E$5))</f>
        <v/>
      </c>
      <c r="F45" s="77">
        <f>IF($B45="","",SUMIFS(Expenses!$D$2:$D$500,Expenses!$C$2:$C$500,$B45,Expenses!$I$2:$I$500,F$5))</f>
        <v/>
      </c>
      <c r="G45" s="77">
        <f>IF($B45="","",SUMIFS(Expenses!$D$2:$D$500,Expenses!$C$2:$C$500,$B45,Expenses!$I$2:$I$500,G$5))</f>
        <v/>
      </c>
      <c r="H45" s="77">
        <f>IF($B45="","",SUMIFS(Expenses!$D$2:$D$500,Expenses!$C$2:$C$500,$B45,Expenses!$I$2:$I$500,H$5))</f>
        <v/>
      </c>
      <c r="I45" s="77">
        <f>IF($B45="","",SUMIFS(Expenses!$D$2:$D$500,Expenses!$C$2:$C$500,$B45,Expenses!$I$2:$I$500,I$5))</f>
        <v/>
      </c>
      <c r="J45" s="77">
        <f>IF($B45="","",SUMIFS(Expenses!$D$2:$D$500,Expenses!$C$2:$C$500,$B45,Expenses!$I$2:$I$500,J$5))</f>
        <v/>
      </c>
      <c r="K45" s="77">
        <f>IF($B45="","",SUMIFS(Expenses!$D$2:$D$500,Expenses!$C$2:$C$500,$B45,Expenses!$I$2:$I$500,K$5))</f>
        <v/>
      </c>
      <c r="L45" s="77">
        <f>IF($B45="","",SUMIFS(Expenses!$D$2:$D$500,Expenses!$C$2:$C$500,$B45,Expenses!$I$2:$I$500,L$5))</f>
        <v/>
      </c>
      <c r="M45" s="77">
        <f>IF($B45="","",SUMIFS(Expenses!$D$2:$D$500,Expenses!$C$2:$C$500,$B45,Expenses!$I$2:$I$500,M$5))</f>
        <v/>
      </c>
      <c r="N45" s="77">
        <f>IF($B45="","",SUMIFS(Expenses!$D$2:$D$500,Expenses!$C$2:$C$500,$B45,Expenses!$I$2:$I$500,N$5))</f>
        <v/>
      </c>
      <c r="O45" s="64">
        <f>IF($B45="","",SUM(C45:N45))</f>
        <v/>
      </c>
    </row>
    <row r="46" ht="15" customHeight="1" s="43">
      <c r="B46" s="69" t="inlineStr">
        <is>
          <t>TOTAL</t>
        </is>
      </c>
      <c r="C46" s="78">
        <f>SUM(C6:C45)</f>
        <v/>
      </c>
      <c r="D46" s="78">
        <f>SUM(D6:D45)</f>
        <v/>
      </c>
      <c r="E46" s="78">
        <f>SUM(E6:E45)</f>
        <v/>
      </c>
      <c r="F46" s="78">
        <f>SUM(F6:F45)</f>
        <v/>
      </c>
      <c r="G46" s="78">
        <f>SUM(G6:G45)</f>
        <v/>
      </c>
      <c r="H46" s="78">
        <f>SUM(H6:H45)</f>
        <v/>
      </c>
      <c r="I46" s="78">
        <f>SUM(I6:I45)</f>
        <v/>
      </c>
      <c r="J46" s="78">
        <f>SUM(J6:J45)</f>
        <v/>
      </c>
      <c r="K46" s="78">
        <f>SUM(K6:K45)</f>
        <v/>
      </c>
      <c r="L46" s="78">
        <f>SUM(L6:L45)</f>
        <v/>
      </c>
      <c r="M46" s="78">
        <f>SUM(M6:M45)</f>
        <v/>
      </c>
      <c r="N46" s="78">
        <f>SUM(N6:N45)</f>
        <v/>
      </c>
      <c r="O46" s="78">
        <f>SUM(O6:O45)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2:D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2" min="1" max="1"/>
    <col width="34" customWidth="1" style="42" min="2" max="2"/>
    <col width="22" customWidth="1" style="42" min="4" max="4"/>
  </cols>
  <sheetData>
    <row r="2" ht="15.75" customHeight="1" s="43">
      <c r="B2" s="79" t="inlineStr">
        <is>
          <t>Categories  (add / edit here -- app &amp; dashboard follow)</t>
        </is>
      </c>
    </row>
    <row r="3" ht="15" customHeight="1" s="43">
      <c r="B3" s="80" t="inlineStr">
        <is>
          <t>Groceries</t>
        </is>
      </c>
      <c r="D3" s="81" t="inlineStr">
        <is>
          <t>People (fixed)</t>
        </is>
      </c>
    </row>
    <row r="4" ht="15" customHeight="1" s="43">
      <c r="B4" s="82" t="inlineStr">
        <is>
          <t>Eating Out / Delivery</t>
        </is>
      </c>
      <c r="D4" s="83" t="inlineStr">
        <is>
          <t>You</t>
        </is>
      </c>
    </row>
    <row r="5" ht="15" customHeight="1" s="43">
      <c r="B5" s="80" t="inlineStr">
        <is>
          <t>Blinkit / Quick-commerce</t>
        </is>
      </c>
      <c r="D5" s="83" t="inlineStr">
        <is>
          <t>Wife</t>
        </is>
      </c>
    </row>
    <row r="6" ht="15" customHeight="1" s="43">
      <c r="B6" s="82" t="inlineStr">
        <is>
          <t>Baby</t>
        </is>
      </c>
      <c r="D6" s="83" t="inlineStr">
        <is>
          <t>Shared</t>
        </is>
      </c>
    </row>
    <row r="7" ht="15" customHeight="1" s="43">
      <c r="B7" s="80" t="inlineStr">
        <is>
          <t>Rent / Housing</t>
        </is>
      </c>
    </row>
    <row r="8" ht="15" customHeight="1" s="43">
      <c r="B8" s="82" t="inlineStr">
        <is>
          <t>Utilities</t>
        </is>
      </c>
    </row>
    <row r="9" ht="15" customHeight="1" s="43">
      <c r="B9" s="80" t="inlineStr">
        <is>
          <t>Transport</t>
        </is>
      </c>
      <c r="D9" s="81" t="inlineStr">
        <is>
          <t>Payment methods</t>
        </is>
      </c>
    </row>
    <row r="10" ht="15" customHeight="1" s="43">
      <c r="B10" s="82" t="inlineStr">
        <is>
          <t>Health</t>
        </is>
      </c>
      <c r="D10" s="83" t="inlineStr">
        <is>
          <t>UPI</t>
        </is>
      </c>
    </row>
    <row r="11" ht="15" customHeight="1" s="43">
      <c r="B11" s="80" t="inlineStr">
        <is>
          <t>Shopping</t>
        </is>
      </c>
      <c r="D11" s="83" t="inlineStr">
        <is>
          <t>Card</t>
        </is>
      </c>
    </row>
    <row r="12" ht="15" customHeight="1" s="43">
      <c r="B12" s="82" t="inlineStr">
        <is>
          <t>Entertainment</t>
        </is>
      </c>
      <c r="D12" s="83" t="inlineStr">
        <is>
          <t>Cash</t>
        </is>
      </c>
    </row>
    <row r="13" ht="15" customHeight="1" s="43">
      <c r="B13" s="80" t="inlineStr">
        <is>
          <t>Subscriptions</t>
        </is>
      </c>
      <c r="D13" s="83" t="inlineStr">
        <is>
          <t>Net Banking</t>
        </is>
      </c>
    </row>
    <row r="14" ht="15" customHeight="1" s="43">
      <c r="B14" s="82" t="inlineStr">
        <is>
          <t>Travel</t>
        </is>
      </c>
    </row>
    <row r="15" ht="15" customHeight="1" s="43">
      <c r="B15" s="80" t="inlineStr">
        <is>
          <t>Other</t>
        </is>
      </c>
    </row>
    <row r="16" ht="15" customHeight="1" s="43">
      <c r="B16" s="84" t="n"/>
    </row>
    <row r="17" ht="15" customHeight="1" s="43">
      <c r="B17" s="85" t="n"/>
    </row>
    <row r="18" ht="15" customHeight="1" s="43">
      <c r="B18" s="84" t="n"/>
    </row>
    <row r="19" ht="15" customHeight="1" s="43">
      <c r="B19" s="85" t="n"/>
    </row>
    <row r="20" ht="15" customHeight="1" s="43">
      <c r="B20" s="84" t="n"/>
    </row>
    <row r="21" ht="15" customHeight="1" s="43">
      <c r="B21" s="85" t="n"/>
    </row>
    <row r="22" ht="15" customHeight="1" s="43">
      <c r="B22" s="84" t="n"/>
    </row>
    <row r="23" ht="15" customHeight="1" s="43">
      <c r="B23" s="85" t="n"/>
    </row>
    <row r="24" ht="15" customHeight="1" s="43">
      <c r="B24" s="84" t="n"/>
    </row>
    <row r="25" ht="15" customHeight="1" s="43">
      <c r="B25" s="85" t="n"/>
    </row>
    <row r="26" ht="15" customHeight="1" s="43">
      <c r="B26" s="84" t="n"/>
    </row>
    <row r="27" ht="15" customHeight="1" s="43">
      <c r="B27" s="85" t="n"/>
    </row>
    <row r="28" ht="15" customHeight="1" s="43">
      <c r="B28" s="84" t="n"/>
    </row>
    <row r="29" ht="15" customHeight="1" s="43">
      <c r="B29" s="85" t="n"/>
    </row>
    <row r="30" ht="15" customHeight="1" s="43">
      <c r="B30" s="84" t="n"/>
    </row>
    <row r="31" ht="15" customHeight="1" s="43">
      <c r="B31" s="85" t="n"/>
    </row>
    <row r="32" ht="15" customHeight="1" s="43">
      <c r="B32" s="84" t="n"/>
    </row>
    <row r="33" ht="15" customHeight="1" s="43">
      <c r="B33" s="85" t="n"/>
    </row>
    <row r="34" ht="15" customHeight="1" s="43">
      <c r="B34" s="84" t="n"/>
    </row>
    <row r="35" ht="15" customHeight="1" s="43">
      <c r="B35" s="85" t="n"/>
    </row>
    <row r="36" ht="15" customHeight="1" s="43">
      <c r="B36" s="84" t="n"/>
    </row>
    <row r="37" ht="15" customHeight="1" s="43">
      <c r="B37" s="85" t="n"/>
    </row>
    <row r="38" ht="15" customHeight="1" s="43">
      <c r="B38" s="84" t="n"/>
    </row>
    <row r="39" ht="15" customHeight="1" s="43">
      <c r="B39" s="85" t="n"/>
    </row>
    <row r="40" ht="15" customHeight="1" s="43">
      <c r="B40" s="84" t="n"/>
    </row>
    <row r="41" ht="15" customHeight="1" s="43">
      <c r="B41" s="85" t="n"/>
    </row>
    <row r="42" ht="15" customHeight="1" s="43">
      <c r="B42" s="84" t="n"/>
    </row>
    <row r="44" ht="15" customHeight="1" s="43">
      <c r="B44" s="66" t="inlineStr">
        <is>
          <t>Tip: keep names exactly matching what the app sends.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B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42" min="1" max="1"/>
    <col width="84" customWidth="1" style="42" min="2" max="2"/>
  </cols>
  <sheetData>
    <row r="2" ht="19.5" customHeight="1" s="43">
      <c r="B2" s="74" t="inlineStr">
        <is>
          <t>How this workbook works</t>
        </is>
      </c>
    </row>
    <row r="4" ht="15" customHeight="1" s="43">
      <c r="B4" s="83" t="n"/>
    </row>
    <row r="5" ht="15" customHeight="1" s="43">
      <c r="B5" s="81" t="inlineStr">
        <is>
          <t>TABS</t>
        </is>
      </c>
    </row>
    <row r="6" ht="15" customHeight="1" s="43">
      <c r="B6" s="83" t="inlineStr">
        <is>
          <t xml:space="preserve">   - Expenses        : one row per expense (the app appends here).</t>
        </is>
      </c>
    </row>
    <row r="7" ht="15" customHeight="1" s="43">
      <c r="B7" s="83" t="inlineStr">
        <is>
          <t xml:space="preserve">   - Settings        : the category list. Edit here to add/rename categories.</t>
        </is>
      </c>
    </row>
    <row r="8" ht="15" customHeight="1" s="43">
      <c r="B8" s="83" t="inlineStr">
        <is>
          <t xml:space="preserve">   - Dashboard       : totals, category breakdown, split, habits, projections.</t>
        </is>
      </c>
    </row>
    <row r="9" ht="15" customHeight="1" s="43">
      <c r="B9" s="83" t="inlineStr">
        <is>
          <t xml:space="preserve">   - Monthly Summary : category x month grid.</t>
        </is>
      </c>
    </row>
    <row r="10" ht="15" customHeight="1" s="43">
      <c r="B10" s="83" t="n"/>
    </row>
    <row r="11" ht="15" customHeight="1" s="43">
      <c r="B11" s="81" t="inlineStr">
        <is>
          <t>ADDING A CATEGORY</t>
        </is>
      </c>
    </row>
    <row r="12" ht="15" customHeight="1" s="43">
      <c r="B12" s="83" t="inlineStr">
        <is>
          <t xml:space="preserve">   1. Open Settings, type the new name in the next empty row under 'Categories'.</t>
        </is>
      </c>
    </row>
    <row r="13" ht="15" customHeight="1" s="43">
      <c r="B13" s="83" t="inlineStr">
        <is>
          <t xml:space="preserve">   2. The Expenses dropdown, Dashboard, and Monthly Summary pick it up automatically.</t>
        </is>
      </c>
    </row>
    <row r="14" ht="15" customHeight="1" s="43">
      <c r="B14" s="83" t="n"/>
    </row>
    <row r="15" ht="15" customHeight="1" s="43">
      <c r="B15" s="81" t="inlineStr">
        <is>
          <t>SPLIT LOGIC</t>
        </is>
      </c>
    </row>
    <row r="16" ht="15" customHeight="1" s="43">
      <c r="B16" s="83" t="inlineStr">
        <is>
          <t xml:space="preserve">   - Shared     = belongs to both, divided 50/50 in 'Fair Share'.</t>
        </is>
      </c>
    </row>
    <row r="17" ht="15" customHeight="1" s="43">
      <c r="B17" s="83" t="inlineStr">
        <is>
          <t xml:space="preserve">   - You / Wife = a personal expense for that person only.</t>
        </is>
      </c>
    </row>
    <row r="18" ht="15" customHeight="1" s="43">
      <c r="B18" s="83" t="inlineStr">
        <is>
          <t xml:space="preserve">   - Dashboard cell I15 shows who owes whom.</t>
        </is>
      </c>
    </row>
    <row r="19" ht="15" customHeight="1" s="43">
      <c r="B19" s="83" t="n"/>
    </row>
    <row r="20" ht="15" customHeight="1" s="43">
      <c r="B20" s="81" t="inlineStr">
        <is>
          <t>PROJECTIONS</t>
        </is>
      </c>
    </row>
    <row r="21" ht="15" customHeight="1" s="43">
      <c r="B21" s="83" t="inlineStr">
        <is>
          <t xml:space="preserve">   - Annual = average monthly spend x 12, over months that have data.</t>
        </is>
      </c>
    </row>
    <row r="22" ht="15" customHeight="1" s="43">
      <c r="B22" s="83" t="n"/>
    </row>
    <row r="23" ht="15" customHeight="1" s="43">
      <c r="B23" s="81" t="inlineStr">
        <is>
          <t>GOOGLE SHEETS</t>
        </is>
      </c>
    </row>
    <row r="24" ht="15" customHeight="1" s="43">
      <c r="B24" s="83" t="inlineStr">
        <is>
          <t xml:space="preserve">   - Upload this .xlsx to Drive and open with Google Sheets -- formulas carry over.</t>
        </is>
      </c>
    </row>
    <row r="25" ht="15" customHeight="1" s="43">
      <c r="B25" s="83" t="inlineStr">
        <is>
          <t xml:space="preserve">   - The phone app will append rows here once the Apps Script bridge is set up.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2026-06-25T14:25:13Z</dcterms:created>
  <dcterms:modified xmlns:dcterms="http://purl.org/dc/terms/" xmlns:xsi="http://www.w3.org/2001/XMLSchema-instance" xsi:type="dcterms:W3CDTF">2026-06-29T05:29:23Z</dcterms:modified>
  <cp:revision>0</cp:revision>
</cp:coreProperties>
</file>